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3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4.xml" ContentType="application/vnd.openxmlformats-officedocument.spreadsheetml.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5.xml" ContentType="application/vnd.openxmlformats-officedocument.spreadsheetml.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4912C0-6AC8-45B1-8A51-4B19B6B639AD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Order Accepted" sheetId="1" r:id="rId1"/>
    <sheet name="OA_Target" sheetId="6" r:id="rId2"/>
    <sheet name="Order Delivered" sheetId="3" r:id="rId3"/>
    <sheet name="OD_Target" sheetId="7" r:id="rId4"/>
    <sheet name="Churn" sheetId="2" r:id="rId5"/>
    <sheet name="Churn_Target" sheetId="8" r:id="rId6"/>
    <sheet name="Checking" sheetId="9" r:id="rId7"/>
    <sheet name="Charts" sheetId="10" r:id="rId8"/>
    <sheet name="Details" sheetId="4" r:id="rId9"/>
    <sheet name="Summary" sheetId="5" r:id="rId10"/>
  </sheets>
  <definedNames>
    <definedName name="_xlnm._FilterDatabase" localSheetId="4" hidden="1">Churn!$A$1:$C$25</definedName>
    <definedName name="_xlnm._FilterDatabase" localSheetId="5" hidden="1">'Churn_Target'!$A$1:$C$25</definedName>
    <definedName name="_xlnm._FilterDatabase" localSheetId="1" hidden="1">OA_Target!$A$1:$C$25</definedName>
    <definedName name="_xlnm._FilterDatabase" localSheetId="3" hidden="1">OD_Target!$A$1:$C$25</definedName>
    <definedName name="_xlnm._FilterDatabase" localSheetId="0" hidden="1">'Order Accepted'!$A$1:$C$25</definedName>
    <definedName name="_xlnm._FilterDatabase" localSheetId="2" hidden="1">'Order Delivered'!$A$1:$C$25</definedName>
  </definedNames>
  <calcPr calcId="191029"/>
  <pivotCaches>
    <pivotCache cacheId="470" r:id="rId11"/>
    <pivotCache cacheId="475" r:id="rId12"/>
    <pivotCache cacheId="480" r:id="rId13"/>
    <pivotCache cacheId="485" r:id="rId14"/>
    <pivotCache cacheId="490" r:id="rId15"/>
    <pivotCache cacheId="495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10" l="1"/>
  <c r="M48" i="10"/>
  <c r="M49" i="10"/>
  <c r="M50" i="10"/>
  <c r="M51" i="10"/>
  <c r="M52" i="10"/>
  <c r="M53" i="10"/>
  <c r="L47" i="10"/>
  <c r="L48" i="10"/>
  <c r="L49" i="10"/>
  <c r="L50" i="10"/>
  <c r="L51" i="10"/>
  <c r="L52" i="10"/>
  <c r="L53" i="10"/>
  <c r="H47" i="10"/>
  <c r="H48" i="10"/>
  <c r="H49" i="10"/>
  <c r="H50" i="10"/>
  <c r="H51" i="10"/>
  <c r="H52" i="10"/>
  <c r="H53" i="10"/>
  <c r="G53" i="10"/>
  <c r="G47" i="10"/>
  <c r="G48" i="10"/>
  <c r="G49" i="10"/>
  <c r="G50" i="10"/>
  <c r="G51" i="10"/>
  <c r="G52" i="10"/>
  <c r="M46" i="10"/>
  <c r="L46" i="10"/>
  <c r="H46" i="10"/>
  <c r="G46" i="10"/>
  <c r="C47" i="10"/>
  <c r="C48" i="10"/>
  <c r="C49" i="10"/>
  <c r="C50" i="10"/>
  <c r="C51" i="10"/>
  <c r="C52" i="10"/>
  <c r="C53" i="10"/>
  <c r="B47" i="10"/>
  <c r="B48" i="10"/>
  <c r="B49" i="10"/>
  <c r="B50" i="10"/>
  <c r="B51" i="10"/>
  <c r="B52" i="10"/>
  <c r="B53" i="10"/>
  <c r="C46" i="10"/>
  <c r="B46" i="10"/>
  <c r="M30" i="10"/>
  <c r="M31" i="10"/>
  <c r="M32" i="10"/>
  <c r="M33" i="10"/>
  <c r="M34" i="10"/>
  <c r="M35" i="10"/>
  <c r="M36" i="10"/>
  <c r="L30" i="10"/>
  <c r="L31" i="10"/>
  <c r="L32" i="10"/>
  <c r="L33" i="10"/>
  <c r="L34" i="10"/>
  <c r="L35" i="10"/>
  <c r="L36" i="10"/>
  <c r="H30" i="10"/>
  <c r="H31" i="10"/>
  <c r="H32" i="10"/>
  <c r="H33" i="10"/>
  <c r="H34" i="10"/>
  <c r="H35" i="10"/>
  <c r="H36" i="10"/>
  <c r="G30" i="10"/>
  <c r="G31" i="10"/>
  <c r="G32" i="10"/>
  <c r="G33" i="10"/>
  <c r="G34" i="10"/>
  <c r="G35" i="10"/>
  <c r="G36" i="10"/>
  <c r="C30" i="10"/>
  <c r="C31" i="10"/>
  <c r="C32" i="10"/>
  <c r="C33" i="10"/>
  <c r="C34" i="10"/>
  <c r="C35" i="10"/>
  <c r="C36" i="10"/>
  <c r="B30" i="10"/>
  <c r="B31" i="10"/>
  <c r="B32" i="10"/>
  <c r="B33" i="10"/>
  <c r="B34" i="10"/>
  <c r="B35" i="10"/>
  <c r="B36" i="10"/>
  <c r="M29" i="10"/>
  <c r="L29" i="10"/>
  <c r="H29" i="10"/>
  <c r="G29" i="10"/>
  <c r="C29" i="10"/>
  <c r="B29" i="10"/>
  <c r="M13" i="10"/>
  <c r="M14" i="10"/>
  <c r="M15" i="10"/>
  <c r="M16" i="10"/>
  <c r="M17" i="10"/>
  <c r="M18" i="10"/>
  <c r="M19" i="10"/>
  <c r="M12" i="10"/>
  <c r="L13" i="10"/>
  <c r="L14" i="10"/>
  <c r="L15" i="10"/>
  <c r="L16" i="10"/>
  <c r="L17" i="10"/>
  <c r="L18" i="10"/>
  <c r="L19" i="10"/>
  <c r="H13" i="10"/>
  <c r="H14" i="10"/>
  <c r="H15" i="10"/>
  <c r="H16" i="10"/>
  <c r="H17" i="10"/>
  <c r="H18" i="10"/>
  <c r="H19" i="10"/>
  <c r="H12" i="10"/>
  <c r="G13" i="10"/>
  <c r="G14" i="10"/>
  <c r="G15" i="10"/>
  <c r="G16" i="10"/>
  <c r="G17" i="10"/>
  <c r="G18" i="10"/>
  <c r="G19" i="10"/>
  <c r="G12" i="10"/>
  <c r="L12" i="10"/>
  <c r="C12" i="10"/>
  <c r="C13" i="10"/>
  <c r="C14" i="10"/>
  <c r="C15" i="10"/>
  <c r="C16" i="10"/>
  <c r="C17" i="10"/>
  <c r="C18" i="10"/>
  <c r="C19" i="10"/>
  <c r="B12" i="10"/>
  <c r="B13" i="10"/>
  <c r="B14" i="10"/>
  <c r="B15" i="10"/>
  <c r="B16" i="10"/>
  <c r="B17" i="10"/>
  <c r="B18" i="10"/>
  <c r="B19" i="10"/>
  <c r="T27" i="4"/>
  <c r="P28" i="4"/>
  <c r="F26" i="4"/>
  <c r="G26" i="4"/>
  <c r="F29" i="4"/>
  <c r="P25" i="4"/>
  <c r="P26" i="4" s="1"/>
  <c r="Q25" i="4"/>
  <c r="Q27" i="4" s="1"/>
  <c r="R25" i="4"/>
  <c r="R28" i="4" s="1"/>
  <c r="S25" i="4"/>
  <c r="S29" i="4" s="1"/>
  <c r="T25" i="4"/>
  <c r="T26" i="4" s="1"/>
  <c r="U25" i="4"/>
  <c r="U27" i="4" s="1"/>
  <c r="V25" i="4"/>
  <c r="V29" i="4" s="1"/>
  <c r="O25" i="4"/>
  <c r="O26" i="4" s="1"/>
  <c r="P15" i="4"/>
  <c r="P16" i="4" s="1"/>
  <c r="Q15" i="4"/>
  <c r="Q16" i="4" s="1"/>
  <c r="R15" i="4"/>
  <c r="R16" i="4" s="1"/>
  <c r="S15" i="4"/>
  <c r="S16" i="4" s="1"/>
  <c r="T15" i="4"/>
  <c r="T17" i="4" s="1"/>
  <c r="U15" i="4"/>
  <c r="U16" i="4" s="1"/>
  <c r="V15" i="4"/>
  <c r="V17" i="4" s="1"/>
  <c r="P17" i="4"/>
  <c r="R17" i="4"/>
  <c r="AD17" i="4" s="1"/>
  <c r="P18" i="4"/>
  <c r="R18" i="4"/>
  <c r="V18" i="4"/>
  <c r="P19" i="4"/>
  <c r="O19" i="4"/>
  <c r="O15" i="4"/>
  <c r="O17" i="4" s="1"/>
  <c r="R8" i="4"/>
  <c r="R9" i="4"/>
  <c r="S9" i="4"/>
  <c r="P5" i="4"/>
  <c r="P8" i="4" s="1"/>
  <c r="Q5" i="4"/>
  <c r="Q7" i="4" s="1"/>
  <c r="R5" i="4"/>
  <c r="R7" i="4" s="1"/>
  <c r="S5" i="4"/>
  <c r="S7" i="4" s="1"/>
  <c r="T5" i="4"/>
  <c r="T8" i="4" s="1"/>
  <c r="U5" i="4"/>
  <c r="U9" i="4" s="1"/>
  <c r="AG9" i="4" s="1"/>
  <c r="V5" i="4"/>
  <c r="V9" i="4" s="1"/>
  <c r="O5" i="4"/>
  <c r="O7" i="4" s="1"/>
  <c r="D25" i="4"/>
  <c r="D29" i="4" s="1"/>
  <c r="E25" i="4"/>
  <c r="E29" i="4" s="1"/>
  <c r="F25" i="4"/>
  <c r="F28" i="4" s="1"/>
  <c r="AD28" i="4" s="1"/>
  <c r="G25" i="4"/>
  <c r="G29" i="4" s="1"/>
  <c r="AE29" i="4" s="1"/>
  <c r="H25" i="4"/>
  <c r="H26" i="4" s="1"/>
  <c r="AF26" i="4" s="1"/>
  <c r="I25" i="4"/>
  <c r="I27" i="4" s="1"/>
  <c r="AG27" i="4" s="1"/>
  <c r="J25" i="4"/>
  <c r="J28" i="4" s="1"/>
  <c r="C25" i="4"/>
  <c r="C29" i="4" s="1"/>
  <c r="D15" i="4"/>
  <c r="D19" i="4" s="1"/>
  <c r="AB19" i="4" s="1"/>
  <c r="E15" i="4"/>
  <c r="E17" i="4" s="1"/>
  <c r="F15" i="4"/>
  <c r="F17" i="4" s="1"/>
  <c r="G15" i="4"/>
  <c r="G17" i="4" s="1"/>
  <c r="H15" i="4"/>
  <c r="H18" i="4" s="1"/>
  <c r="I15" i="4"/>
  <c r="I19" i="4" s="1"/>
  <c r="J15" i="4"/>
  <c r="J18" i="4" s="1"/>
  <c r="AH18" i="4" s="1"/>
  <c r="C15" i="4"/>
  <c r="C19" i="4" s="1"/>
  <c r="B11" i="9" s="1"/>
  <c r="C5" i="4"/>
  <c r="C9" i="4" s="1"/>
  <c r="D5" i="4"/>
  <c r="D9" i="4" s="1"/>
  <c r="E5" i="4"/>
  <c r="E8" i="4" s="1"/>
  <c r="F5" i="4"/>
  <c r="F6" i="4" s="1"/>
  <c r="G5" i="4"/>
  <c r="G8" i="4" s="1"/>
  <c r="H5" i="4"/>
  <c r="H9" i="4" s="1"/>
  <c r="I5" i="4"/>
  <c r="I9" i="4" s="1"/>
  <c r="J5" i="4"/>
  <c r="J7" i="4" s="1"/>
  <c r="AE26" i="4" l="1"/>
  <c r="AT9" i="4"/>
  <c r="O9" i="4"/>
  <c r="T19" i="4"/>
  <c r="Q17" i="4"/>
  <c r="AC17" i="4" s="1"/>
  <c r="I29" i="4"/>
  <c r="AG29" i="4" s="1"/>
  <c r="U29" i="4"/>
  <c r="P27" i="4"/>
  <c r="H6" i="4"/>
  <c r="AM9" i="4"/>
  <c r="AM16" i="4"/>
  <c r="AM19" i="4"/>
  <c r="O11" i="9" s="1"/>
  <c r="AM7" i="4"/>
  <c r="T29" i="4"/>
  <c r="AN8" i="4"/>
  <c r="AN19" i="4"/>
  <c r="AN28" i="4"/>
  <c r="AN29" i="4"/>
  <c r="B5" i="9"/>
  <c r="O5" i="9" s="1"/>
  <c r="F17" i="9"/>
  <c r="O8" i="4"/>
  <c r="T16" i="4"/>
  <c r="H28" i="4"/>
  <c r="Q29" i="4"/>
  <c r="AC29" i="4" s="1"/>
  <c r="AA19" i="4"/>
  <c r="AO7" i="4"/>
  <c r="B4" i="10"/>
  <c r="O28" i="4"/>
  <c r="G28" i="4"/>
  <c r="P29" i="4"/>
  <c r="AB29" i="4" s="1"/>
  <c r="AA9" i="4"/>
  <c r="AP8" i="4"/>
  <c r="AP28" i="4"/>
  <c r="D17" i="9"/>
  <c r="P9" i="4"/>
  <c r="C5" i="9" s="1"/>
  <c r="T18" i="4"/>
  <c r="AF18" i="4" s="1"/>
  <c r="S8" i="4"/>
  <c r="AE8" i="4" s="1"/>
  <c r="O29" i="4"/>
  <c r="G27" i="4"/>
  <c r="AE27" i="4" s="1"/>
  <c r="U28" i="4"/>
  <c r="AQ18" i="4"/>
  <c r="D11" i="9"/>
  <c r="C17" i="9"/>
  <c r="C28" i="4"/>
  <c r="AM28" i="4" s="1"/>
  <c r="Q18" i="4"/>
  <c r="C26" i="4"/>
  <c r="AO26" i="4" s="1"/>
  <c r="D27" i="4"/>
  <c r="AB27" i="4" s="1"/>
  <c r="T28" i="4"/>
  <c r="F5" i="9"/>
  <c r="C11" i="9"/>
  <c r="C27" i="4"/>
  <c r="AM27" i="4" s="1"/>
  <c r="AS16" i="4"/>
  <c r="D7" i="5"/>
  <c r="AF6" i="4"/>
  <c r="V8" i="4"/>
  <c r="D28" i="4"/>
  <c r="AB28" i="4" s="1"/>
  <c r="R26" i="4"/>
  <c r="AD26" i="4" s="1"/>
  <c r="T9" i="4"/>
  <c r="AF9" i="4" s="1"/>
  <c r="O18" i="4"/>
  <c r="G7" i="5" s="1"/>
  <c r="S17" i="4"/>
  <c r="AE17" i="4" s="1"/>
  <c r="O27" i="4"/>
  <c r="J6" i="5" s="1"/>
  <c r="J29" i="4"/>
  <c r="AH29" i="4" s="1"/>
  <c r="I28" i="4"/>
  <c r="H27" i="4"/>
  <c r="AF27" i="4" s="1"/>
  <c r="R29" i="4"/>
  <c r="AP29" i="4" s="1"/>
  <c r="Q28" i="4"/>
  <c r="J7" i="5" s="1"/>
  <c r="V26" i="4"/>
  <c r="Q8" i="4"/>
  <c r="AC8" i="4" s="1"/>
  <c r="P7" i="4"/>
  <c r="D6" i="5" s="1"/>
  <c r="V19" i="4"/>
  <c r="H29" i="4"/>
  <c r="AF29" i="4" s="1"/>
  <c r="F27" i="4"/>
  <c r="AD27" i="4" s="1"/>
  <c r="E26" i="4"/>
  <c r="AC26" i="4" s="1"/>
  <c r="V27" i="4"/>
  <c r="U26" i="4"/>
  <c r="Q9" i="4"/>
  <c r="V6" i="4"/>
  <c r="U19" i="4"/>
  <c r="AG19" i="4" s="1"/>
  <c r="S18" i="4"/>
  <c r="E27" i="4"/>
  <c r="AC27" i="4" s="1"/>
  <c r="D26" i="4"/>
  <c r="AB26" i="4" s="1"/>
  <c r="V28" i="4"/>
  <c r="AH28" i="4" s="1"/>
  <c r="S26" i="4"/>
  <c r="V7" i="4"/>
  <c r="AH7" i="4" s="1"/>
  <c r="U6" i="4"/>
  <c r="E28" i="4"/>
  <c r="AC28" i="4" s="1"/>
  <c r="U7" i="4"/>
  <c r="S19" i="4"/>
  <c r="J26" i="4"/>
  <c r="AH26" i="4" s="1"/>
  <c r="S27" i="4"/>
  <c r="U8" i="4"/>
  <c r="T7" i="4"/>
  <c r="O16" i="4"/>
  <c r="G5" i="5" s="1"/>
  <c r="R19" i="4"/>
  <c r="J27" i="4"/>
  <c r="AH27" i="4" s="1"/>
  <c r="I26" i="4"/>
  <c r="AG26" i="4" s="1"/>
  <c r="S28" i="4"/>
  <c r="R27" i="4"/>
  <c r="Q26" i="4"/>
  <c r="J5" i="5" s="1"/>
  <c r="Q19" i="4"/>
  <c r="C5" i="10" s="1"/>
  <c r="U17" i="4"/>
  <c r="U18" i="4"/>
  <c r="V16" i="4"/>
  <c r="O6" i="4"/>
  <c r="D5" i="5" s="1"/>
  <c r="Q6" i="4"/>
  <c r="T6" i="4"/>
  <c r="S6" i="4"/>
  <c r="R6" i="4"/>
  <c r="AD6" i="4" s="1"/>
  <c r="P6" i="4"/>
  <c r="J9" i="4"/>
  <c r="AH9" i="4" s="1"/>
  <c r="F16" i="4"/>
  <c r="AD16" i="4" s="1"/>
  <c r="J8" i="4"/>
  <c r="AH8" i="4" s="1"/>
  <c r="C18" i="4"/>
  <c r="AM18" i="4" s="1"/>
  <c r="F8" i="4"/>
  <c r="AD8" i="4" s="1"/>
  <c r="C17" i="4"/>
  <c r="AO17" i="4" s="1"/>
  <c r="G9" i="4"/>
  <c r="AE9" i="4" s="1"/>
  <c r="H19" i="4"/>
  <c r="AF19" i="4" s="1"/>
  <c r="J6" i="4"/>
  <c r="AH6" i="4" s="1"/>
  <c r="F9" i="4"/>
  <c r="AD9" i="4" s="1"/>
  <c r="G19" i="4"/>
  <c r="AE19" i="4" s="1"/>
  <c r="F7" i="4"/>
  <c r="AD7" i="4" s="1"/>
  <c r="C16" i="4"/>
  <c r="AO16" i="4" s="1"/>
  <c r="G18" i="4"/>
  <c r="AE18" i="4" s="1"/>
  <c r="J16" i="4"/>
  <c r="AH16" i="4" s="1"/>
  <c r="F18" i="4"/>
  <c r="AD18" i="4" s="1"/>
  <c r="G16" i="4"/>
  <c r="AE16" i="4" s="1"/>
  <c r="E6" i="4"/>
  <c r="E7" i="4"/>
  <c r="AC7" i="4" s="1"/>
  <c r="D6" i="4"/>
  <c r="AB6" i="4" s="1"/>
  <c r="D7" i="4"/>
  <c r="AB7" i="4" s="1"/>
  <c r="D8" i="4"/>
  <c r="AB8" i="4" s="1"/>
  <c r="E9" i="4"/>
  <c r="AC9" i="4" s="1"/>
  <c r="E16" i="4"/>
  <c r="AC16" i="4" s="1"/>
  <c r="F19" i="4"/>
  <c r="AD19" i="4" s="1"/>
  <c r="E18" i="4"/>
  <c r="AC18" i="4" s="1"/>
  <c r="D17" i="4"/>
  <c r="AB17" i="4" s="1"/>
  <c r="C6" i="4"/>
  <c r="C5" i="5" s="1"/>
  <c r="C7" i="4"/>
  <c r="C6" i="5" s="1"/>
  <c r="C8" i="4"/>
  <c r="AQ8" i="4" s="1"/>
  <c r="D16" i="4"/>
  <c r="AB16" i="4" s="1"/>
  <c r="E19" i="4"/>
  <c r="AC19" i="4" s="1"/>
  <c r="D18" i="4"/>
  <c r="AB18" i="4" s="1"/>
  <c r="J17" i="4"/>
  <c r="AH17" i="4" s="1"/>
  <c r="I6" i="4"/>
  <c r="AG6" i="4" s="1"/>
  <c r="I7" i="4"/>
  <c r="AG7" i="4" s="1"/>
  <c r="I8" i="4"/>
  <c r="AG8" i="4" s="1"/>
  <c r="H7" i="4"/>
  <c r="AF7" i="4" s="1"/>
  <c r="H8" i="4"/>
  <c r="AF8" i="4" s="1"/>
  <c r="I16" i="4"/>
  <c r="AG16" i="4" s="1"/>
  <c r="J19" i="4"/>
  <c r="AH19" i="4" s="1"/>
  <c r="I18" i="4"/>
  <c r="H17" i="4"/>
  <c r="AF17" i="4" s="1"/>
  <c r="I17" i="4"/>
  <c r="AG17" i="4" s="1"/>
  <c r="G6" i="4"/>
  <c r="AE6" i="4" s="1"/>
  <c r="G7" i="4"/>
  <c r="AE7" i="4" s="1"/>
  <c r="H16" i="4"/>
  <c r="AF16" i="4" s="1"/>
  <c r="J8" i="5" l="1"/>
  <c r="E5" i="5"/>
  <c r="D8" i="5"/>
  <c r="E6" i="5"/>
  <c r="Q8" i="9"/>
  <c r="AG18" i="4"/>
  <c r="AC6" i="4"/>
  <c r="AG28" i="4"/>
  <c r="AS29" i="4"/>
  <c r="AS9" i="4"/>
  <c r="I5" i="5"/>
  <c r="AR18" i="4"/>
  <c r="G5" i="9"/>
  <c r="AQ17" i="4"/>
  <c r="C6" i="10"/>
  <c r="B17" i="9"/>
  <c r="AP27" i="4"/>
  <c r="R15" i="9" s="1"/>
  <c r="AP7" i="4"/>
  <c r="E17" i="9"/>
  <c r="R17" i="9" s="1"/>
  <c r="AT6" i="4"/>
  <c r="G11" i="9"/>
  <c r="AN27" i="4"/>
  <c r="AN7" i="4"/>
  <c r="AM29" i="4"/>
  <c r="O17" i="9" s="1"/>
  <c r="AT8" i="4"/>
  <c r="R16" i="9"/>
  <c r="AO27" i="4"/>
  <c r="AS28" i="4"/>
  <c r="AS8" i="4"/>
  <c r="F6" i="5"/>
  <c r="AR17" i="4"/>
  <c r="T9" i="9" s="1"/>
  <c r="E14" i="9"/>
  <c r="F14" i="9"/>
  <c r="G14" i="9"/>
  <c r="H14" i="9"/>
  <c r="I14" i="9"/>
  <c r="B14" i="9"/>
  <c r="C14" i="9"/>
  <c r="D14" i="9"/>
  <c r="Q14" i="9" s="1"/>
  <c r="AA26" i="4"/>
  <c r="F5" i="5"/>
  <c r="AQ16" i="4"/>
  <c r="E11" i="9"/>
  <c r="AP26" i="4"/>
  <c r="R14" i="9" s="1"/>
  <c r="AS6" i="4"/>
  <c r="F11" i="9"/>
  <c r="AO19" i="4"/>
  <c r="Q11" i="9" s="1"/>
  <c r="I5" i="9"/>
  <c r="V5" i="9" s="1"/>
  <c r="AN26" i="4"/>
  <c r="P14" i="9" s="1"/>
  <c r="AM6" i="4"/>
  <c r="AM8" i="4"/>
  <c r="AD29" i="4"/>
  <c r="I17" i="9"/>
  <c r="AS27" i="4"/>
  <c r="U15" i="9" s="1"/>
  <c r="AS7" i="4"/>
  <c r="AR16" i="4"/>
  <c r="AQ29" i="4"/>
  <c r="S17" i="9" s="1"/>
  <c r="AQ9" i="4"/>
  <c r="H5" i="9"/>
  <c r="AP19" i="4"/>
  <c r="R11" i="9" s="1"/>
  <c r="AO18" i="4"/>
  <c r="P11" i="9"/>
  <c r="AN6" i="4"/>
  <c r="C4" i="10"/>
  <c r="AB9" i="4"/>
  <c r="I11" i="9"/>
  <c r="AS26" i="4"/>
  <c r="U14" i="9" s="1"/>
  <c r="AP6" i="4"/>
  <c r="AR29" i="4"/>
  <c r="AR9" i="4"/>
  <c r="AT28" i="4"/>
  <c r="AQ28" i="4"/>
  <c r="S16" i="9" s="1"/>
  <c r="AP18" i="4"/>
  <c r="AF28" i="4"/>
  <c r="AN18" i="4"/>
  <c r="P10" i="9" s="1"/>
  <c r="AT18" i="4"/>
  <c r="AM26" i="4"/>
  <c r="O14" i="9" s="1"/>
  <c r="U8" i="9"/>
  <c r="C4" i="9"/>
  <c r="P4" i="9" s="1"/>
  <c r="D4" i="9"/>
  <c r="Q4" i="9" s="1"/>
  <c r="E4" i="9"/>
  <c r="R4" i="9" s="1"/>
  <c r="F4" i="9"/>
  <c r="S4" i="9" s="1"/>
  <c r="AA8" i="4"/>
  <c r="G4" i="9"/>
  <c r="T4" i="9" s="1"/>
  <c r="I4" i="9"/>
  <c r="H4" i="9"/>
  <c r="B4" i="9"/>
  <c r="O4" i="9" s="1"/>
  <c r="E9" i="9"/>
  <c r="F9" i="9"/>
  <c r="G9" i="9"/>
  <c r="B9" i="9"/>
  <c r="H9" i="9"/>
  <c r="C9" i="9"/>
  <c r="I9" i="9"/>
  <c r="D9" i="9"/>
  <c r="Q9" i="9" s="1"/>
  <c r="AA17" i="4"/>
  <c r="E5" i="9"/>
  <c r="AS19" i="4"/>
  <c r="F15" i="9"/>
  <c r="I6" i="5"/>
  <c r="K6" i="5" s="1"/>
  <c r="G15" i="9"/>
  <c r="H15" i="9"/>
  <c r="B15" i="9"/>
  <c r="O15" i="9" s="1"/>
  <c r="I15" i="9"/>
  <c r="C15" i="9"/>
  <c r="D15" i="9"/>
  <c r="E15" i="9"/>
  <c r="AA27" i="4"/>
  <c r="AR28" i="4"/>
  <c r="T16" i="9" s="1"/>
  <c r="AR8" i="4"/>
  <c r="AT7" i="4"/>
  <c r="AQ27" i="4"/>
  <c r="S15" i="9" s="1"/>
  <c r="AQ7" i="4"/>
  <c r="AT26" i="4"/>
  <c r="V14" i="9" s="1"/>
  <c r="G6" i="5"/>
  <c r="G8" i="5" s="1"/>
  <c r="AP17" i="4"/>
  <c r="AE28" i="4"/>
  <c r="AN17" i="4"/>
  <c r="G17" i="9"/>
  <c r="AA29" i="4"/>
  <c r="AT29" i="4"/>
  <c r="V17" i="9" s="1"/>
  <c r="AR19" i="4"/>
  <c r="T11" i="9" s="1"/>
  <c r="O8" i="9"/>
  <c r="B3" i="9"/>
  <c r="O3" i="9" s="1"/>
  <c r="C3" i="9"/>
  <c r="P3" i="9" s="1"/>
  <c r="D3" i="9"/>
  <c r="Q3" i="9" s="1"/>
  <c r="E3" i="9"/>
  <c r="R3" i="9" s="1"/>
  <c r="I3" i="9"/>
  <c r="V3" i="9" s="1"/>
  <c r="F3" i="9"/>
  <c r="S3" i="9" s="1"/>
  <c r="G3" i="9"/>
  <c r="AA7" i="4"/>
  <c r="H3" i="9"/>
  <c r="C8" i="9"/>
  <c r="D8" i="9"/>
  <c r="E8" i="9"/>
  <c r="F8" i="9"/>
  <c r="B8" i="9"/>
  <c r="G8" i="9"/>
  <c r="AA16" i="4"/>
  <c r="H8" i="9"/>
  <c r="I8" i="9"/>
  <c r="I7" i="5"/>
  <c r="K7" i="5" s="1"/>
  <c r="AS18" i="4"/>
  <c r="U10" i="9" s="1"/>
  <c r="B5" i="10"/>
  <c r="AR27" i="4"/>
  <c r="AR7" i="4"/>
  <c r="G16" i="9"/>
  <c r="H16" i="9"/>
  <c r="I16" i="9"/>
  <c r="B16" i="9"/>
  <c r="O16" i="9" s="1"/>
  <c r="C16" i="9"/>
  <c r="P16" i="9" s="1"/>
  <c r="D16" i="9"/>
  <c r="E16" i="9"/>
  <c r="F16" i="9"/>
  <c r="AA28" i="4"/>
  <c r="AQ26" i="4"/>
  <c r="AR6" i="4"/>
  <c r="AO6" i="4"/>
  <c r="AP16" i="4"/>
  <c r="R8" i="9" s="1"/>
  <c r="AO29" i="4"/>
  <c r="Q17" i="9" s="1"/>
  <c r="AO9" i="4"/>
  <c r="AT17" i="4"/>
  <c r="C7" i="5"/>
  <c r="E7" i="5" s="1"/>
  <c r="AN16" i="4"/>
  <c r="H11" i="9"/>
  <c r="AT27" i="4"/>
  <c r="D5" i="9"/>
  <c r="Q5" i="9" s="1"/>
  <c r="S5" i="9"/>
  <c r="I2" i="9"/>
  <c r="V2" i="9" s="1"/>
  <c r="B2" i="9"/>
  <c r="O2" i="9" s="1"/>
  <c r="C2" i="9"/>
  <c r="D2" i="9"/>
  <c r="Q2" i="9" s="1"/>
  <c r="E2" i="9"/>
  <c r="R2" i="9" s="1"/>
  <c r="F2" i="9"/>
  <c r="G2" i="9"/>
  <c r="AA6" i="4"/>
  <c r="H2" i="9"/>
  <c r="U2" i="9" s="1"/>
  <c r="I10" i="9"/>
  <c r="V10" i="9" s="1"/>
  <c r="G10" i="9"/>
  <c r="H10" i="9"/>
  <c r="B10" i="9"/>
  <c r="O10" i="9" s="1"/>
  <c r="C10" i="9"/>
  <c r="D10" i="9"/>
  <c r="E10" i="9"/>
  <c r="AA18" i="4"/>
  <c r="F10" i="9"/>
  <c r="S10" i="9" s="1"/>
  <c r="F7" i="5"/>
  <c r="H7" i="5" s="1"/>
  <c r="AS17" i="4"/>
  <c r="U9" i="9" s="1"/>
  <c r="AR26" i="4"/>
  <c r="T14" i="9" s="1"/>
  <c r="AQ6" i="4"/>
  <c r="AQ19" i="4"/>
  <c r="S11" i="9" s="1"/>
  <c r="B6" i="10"/>
  <c r="AP9" i="4"/>
  <c r="AT16" i="4"/>
  <c r="AO28" i="4"/>
  <c r="AO8" i="4"/>
  <c r="P17" i="9"/>
  <c r="AN9" i="4"/>
  <c r="P5" i="9" s="1"/>
  <c r="AM17" i="4"/>
  <c r="O9" i="9" s="1"/>
  <c r="AT19" i="4"/>
  <c r="V11" i="9" s="1"/>
  <c r="H17" i="9"/>
  <c r="C9" i="5" l="1"/>
  <c r="P8" i="9"/>
  <c r="S14" i="9"/>
  <c r="U3" i="9"/>
  <c r="R9" i="9"/>
  <c r="T17" i="9"/>
  <c r="H6" i="5"/>
  <c r="P15" i="9"/>
  <c r="S9" i="9"/>
  <c r="Q16" i="9"/>
  <c r="P2" i="9"/>
  <c r="Q10" i="9"/>
  <c r="T5" i="9"/>
  <c r="T3" i="9"/>
  <c r="U11" i="9"/>
  <c r="U16" i="9"/>
  <c r="T10" i="9"/>
  <c r="V8" i="9"/>
  <c r="T15" i="9"/>
  <c r="R5" i="9"/>
  <c r="U5" i="9"/>
  <c r="Q15" i="9"/>
  <c r="K5" i="5"/>
  <c r="I8" i="5"/>
  <c r="K8" i="5" s="1"/>
  <c r="R10" i="9"/>
  <c r="S8" i="9"/>
  <c r="T2" i="9"/>
  <c r="V4" i="9"/>
  <c r="U17" i="9"/>
  <c r="C8" i="5"/>
  <c r="E8" i="5" s="1"/>
  <c r="H5" i="5"/>
  <c r="F8" i="5"/>
  <c r="H8" i="5" s="1"/>
  <c r="S2" i="9"/>
  <c r="V15" i="9"/>
  <c r="P9" i="9"/>
  <c r="V9" i="9"/>
  <c r="U4" i="9"/>
  <c r="V16" i="9"/>
  <c r="T8" i="9"/>
</calcChain>
</file>

<file path=xl/sharedStrings.xml><?xml version="1.0" encoding="utf-8"?>
<sst xmlns="http://schemas.openxmlformats.org/spreadsheetml/2006/main" count="749" uniqueCount="44">
  <si>
    <t>MMYYYY</t>
  </si>
  <si>
    <t>Product</t>
  </si>
  <si>
    <t>Value</t>
  </si>
  <si>
    <t>Product A</t>
  </si>
  <si>
    <t>Product B</t>
  </si>
  <si>
    <t>Product C</t>
  </si>
  <si>
    <t>Column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</si>
  <si>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</si>
  <si>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</si>
  <si>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</si>
  <si>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</si>
  <si>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</si>
  <si>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</si>
  <si>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</si>
  <si>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</si>
  <si>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</si>
  <si>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(All)</t>
  </si>
  <si>
    <t>Total</t>
  </si>
  <si>
    <t>All Product</t>
  </si>
  <si>
    <t>Order Accepted</t>
  </si>
  <si>
    <t xml:space="preserve">Cumulative </t>
  </si>
  <si>
    <t>Order Delivered</t>
  </si>
  <si>
    <t>Churn</t>
  </si>
  <si>
    <t>Target</t>
  </si>
  <si>
    <t xml:space="preserve">Value vs Target </t>
  </si>
  <si>
    <t>Sep</t>
  </si>
  <si>
    <t>Oct</t>
  </si>
  <si>
    <t>Nov</t>
  </si>
  <si>
    <t>Dec</t>
  </si>
  <si>
    <t>%</t>
  </si>
  <si>
    <t xml:space="preserve">Order Delivered </t>
  </si>
  <si>
    <t xml:space="preserve">Summary on Cumulative </t>
  </si>
  <si>
    <t>LOP</t>
  </si>
  <si>
    <t>Type</t>
  </si>
  <si>
    <t>Product A_OA</t>
  </si>
  <si>
    <t>Month</t>
  </si>
  <si>
    <t>Product C_OA</t>
  </si>
  <si>
    <t>Product B_OA</t>
  </si>
  <si>
    <t>Product A_OD</t>
  </si>
  <si>
    <t>Product B_OD</t>
  </si>
  <si>
    <t>Product C_OD</t>
  </si>
  <si>
    <t>Product A_Churn</t>
  </si>
  <si>
    <t>Product B_Churn</t>
  </si>
  <si>
    <t>Product C_Churn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</si>
</sst>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0.00,,\ &quot;mill&quot;"/>
    <numFmt numFmtId="168" formatCode="0.00,,\ &quot;Mill&quot;"/>
    <numFmt numFmtId="169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7">
    <xf numFmtId="0" fontId="0" fillId="0" borderId="0" xfId="0"/>
    <xf numFmtId="3" fontId="0" fillId="0" borderId="0" xfId="0" applyNumberFormat="1"/>
    <xf numFmtId="17" fontId="0" fillId="0" borderId="0" xfId="0" applyNumberFormat="1"/>
    <xf numFmtId="17" fontId="0" fillId="0" borderId="0" xfId="0" applyNumberFormat="1" applyAlignment="1">
      <alignment horizontal="left"/>
    </xf>
    <xf numFmtId="0" fontId="0" fillId="0" borderId="0" xfId="0" pivotButton="1"/>
    <xf numFmtId="0" fontId="1" fillId="0" borderId="2" xfId="0" applyFont="1" applyBorder="1" applyAlignment="1">
      <alignment horizontal="center" vertical="top"/>
    </xf>
    <xf numFmtId="0" fontId="0" fillId="0" borderId="0" xfId="0" applyBorder="1"/>
    <xf numFmtId="0" fontId="0" fillId="0" borderId="7" xfId="0" applyBorder="1"/>
    <xf numFmtId="167" fontId="0" fillId="0" borderId="4" xfId="1" applyNumberFormat="1" applyFont="1" applyBorder="1"/>
    <xf numFmtId="167" fontId="0" fillId="0" borderId="0" xfId="1" applyNumberFormat="1" applyFont="1" applyBorder="1"/>
    <xf numFmtId="167" fontId="0" fillId="0" borderId="3" xfId="1" applyNumberFormat="1" applyFont="1" applyBorder="1"/>
    <xf numFmtId="167" fontId="0" fillId="0" borderId="6" xfId="1" applyNumberFormat="1" applyFont="1" applyBorder="1"/>
    <xf numFmtId="9" fontId="0" fillId="0" borderId="6" xfId="2" applyFont="1" applyBorder="1"/>
    <xf numFmtId="9" fontId="0" fillId="0" borderId="0" xfId="2" applyFont="1" applyBorder="1"/>
    <xf numFmtId="9" fontId="0" fillId="0" borderId="4" xfId="2" applyFont="1" applyBorder="1"/>
    <xf numFmtId="9" fontId="0" fillId="0" borderId="3" xfId="2" applyFont="1" applyBorder="1"/>
    <xf numFmtId="9" fontId="0" fillId="0" borderId="0" xfId="2" applyFont="1"/>
    <xf numFmtId="167" fontId="0" fillId="0" borderId="4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3" borderId="0" xfId="0" applyFont="1" applyFill="1"/>
    <xf numFmtId="0" fontId="0" fillId="2" borderId="11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7" fontId="0" fillId="5" borderId="8" xfId="0" applyNumberFormat="1" applyFill="1" applyBorder="1" applyAlignment="1">
      <alignment horizontal="center" vertical="center"/>
    </xf>
    <xf numFmtId="167" fontId="0" fillId="5" borderId="9" xfId="0" applyNumberFormat="1" applyFill="1" applyBorder="1" applyAlignment="1">
      <alignment horizontal="center" vertical="center"/>
    </xf>
    <xf numFmtId="167" fontId="0" fillId="5" borderId="8" xfId="1" applyNumberFormat="1" applyFont="1" applyFill="1" applyBorder="1"/>
    <xf numFmtId="167" fontId="0" fillId="5" borderId="9" xfId="1" applyNumberFormat="1" applyFont="1" applyFill="1" applyBorder="1"/>
    <xf numFmtId="0" fontId="0" fillId="5" borderId="9" xfId="0" applyFill="1" applyBorder="1"/>
    <xf numFmtId="0" fontId="0" fillId="5" borderId="10" xfId="0" applyFill="1" applyBorder="1"/>
    <xf numFmtId="9" fontId="0" fillId="5" borderId="8" xfId="2" applyFont="1" applyFill="1" applyBorder="1"/>
    <xf numFmtId="9" fontId="0" fillId="5" borderId="9" xfId="2" applyFont="1" applyFill="1" applyBorder="1"/>
    <xf numFmtId="0" fontId="0" fillId="6" borderId="1" xfId="0" applyFill="1" applyBorder="1"/>
    <xf numFmtId="0" fontId="0" fillId="6" borderId="11" xfId="0" applyNumberFormat="1" applyFill="1" applyBorder="1" applyAlignment="1">
      <alignment horizontal="center"/>
    </xf>
    <xf numFmtId="0" fontId="0" fillId="6" borderId="1" xfId="0" applyNumberFormat="1" applyFill="1" applyBorder="1" applyAlignment="1">
      <alignment horizontal="center"/>
    </xf>
    <xf numFmtId="17" fontId="0" fillId="6" borderId="1" xfId="0" applyNumberFormat="1" applyFill="1" applyBorder="1" applyAlignment="1">
      <alignment horizontal="center"/>
    </xf>
    <xf numFmtId="17" fontId="0" fillId="6" borderId="11" xfId="0" applyNumberFormat="1" applyFill="1" applyBorder="1" applyAlignment="1">
      <alignment horizontal="center"/>
    </xf>
    <xf numFmtId="0" fontId="0" fillId="6" borderId="8" xfId="0" applyFill="1" applyBorder="1"/>
    <xf numFmtId="0" fontId="0" fillId="7" borderId="1" xfId="0" applyFill="1" applyBorder="1" applyAlignment="1">
      <alignment horizontal="center" vertical="center"/>
    </xf>
    <xf numFmtId="0" fontId="0" fillId="5" borderId="8" xfId="0" applyFill="1" applyBorder="1"/>
    <xf numFmtId="0" fontId="0" fillId="5" borderId="1" xfId="0" applyFill="1" applyBorder="1"/>
    <xf numFmtId="0" fontId="0" fillId="7" borderId="1" xfId="0" applyFill="1" applyBorder="1"/>
    <xf numFmtId="0" fontId="0" fillId="7" borderId="0" xfId="0" applyFill="1"/>
    <xf numFmtId="0" fontId="3" fillId="4" borderId="1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8" fontId="0" fillId="0" borderId="0" xfId="1" applyNumberFormat="1" applyFont="1"/>
    <xf numFmtId="169" fontId="0" fillId="0" borderId="5" xfId="2" applyNumberFormat="1" applyFont="1" applyBorder="1" applyAlignment="1">
      <alignment horizontal="center" vertical="center"/>
    </xf>
    <xf numFmtId="169" fontId="0" fillId="0" borderId="7" xfId="2" applyNumberFormat="1" applyFont="1" applyBorder="1" applyAlignment="1">
      <alignment horizontal="center" vertical="center"/>
    </xf>
    <xf numFmtId="169" fontId="0" fillId="5" borderId="10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64">
    <dxf>
      <fill>
        <patternFill>
          <bgColor rgb="FFF0EA00"/>
        </patternFill>
      </fill>
    </dxf>
    <dxf>
      <fill>
        <patternFill>
          <bgColor rgb="FFFF4F4F"/>
        </patternFill>
      </fill>
    </dxf>
    <dxf>
      <fill>
        <patternFill>
          <bgColor rgb="FF00DE64"/>
        </patternFill>
      </fill>
    </dxf>
    <dxf>
      <fill>
        <patternFill>
          <bgColor rgb="FFFF8181"/>
        </patternFill>
      </fill>
    </dxf>
    <dxf>
      <fill>
        <patternFill>
          <bgColor rgb="FFF0EEA0"/>
        </patternFill>
      </fill>
    </dxf>
    <dxf>
      <fill>
        <patternFill>
          <bgColor rgb="FF00D661"/>
        </patternFill>
      </fill>
    </dxf>
    <dxf>
      <fill>
        <patternFill>
          <bgColor rgb="FFF0EA00"/>
        </patternFill>
      </fill>
    </dxf>
    <dxf>
      <fill>
        <patternFill>
          <bgColor rgb="FFFF4F4F"/>
        </patternFill>
      </fill>
    </dxf>
    <dxf>
      <fill>
        <patternFill>
          <bgColor rgb="FF00DE64"/>
        </patternFill>
      </fill>
    </dxf>
    <dxf>
      <fill>
        <patternFill>
          <bgColor rgb="FFFF8181"/>
        </patternFill>
      </fill>
    </dxf>
    <dxf>
      <fill>
        <patternFill>
          <bgColor rgb="FFF0EEA0"/>
        </patternFill>
      </fill>
    </dxf>
    <dxf>
      <fill>
        <patternFill>
          <bgColor rgb="FF00D66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0,,\ &quot;Mill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0,,\ &quot;Mill&quot;"/>
    </dxf>
    <dxf>
      <numFmt numFmtId="3" formatCode="#,##0"/>
    </dxf>
    <dxf>
      <numFmt numFmtId="22" formatCode="mmm\-yy"/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2" formatCode="mmm\-yy"/>
    </dxf>
    <dxf>
      <numFmt numFmtId="3" formatCode="#,##0"/>
    </dxf>
    <dxf>
      <numFmt numFmtId="22" formatCode="mmm\-yy"/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numFmt numFmtId="22" formatCode="mmm\-yy"/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2" formatCode="mmm\-yy"/>
      <alignment horizontal="left" vertical="bottom" textRotation="0" wrapText="0" indent="0" justifyLastLine="0" shrinkToFit="0" readingOrder="0"/>
    </dxf>
    <dxf>
      <numFmt numFmtId="22" formatCode="mmm\-yy"/>
      <alignment horizontal="left" vertical="bottom" textRotation="0" wrapText="0" indent="0" justifyLastLine="0" shrinkToFit="0" readingOrder="0"/>
    </dxf>
    <dxf>
      <numFmt numFmtId="22" formatCode="mmm\-yy"/>
    </dxf>
    <dxf>
      <numFmt numFmtId="22" formatCode="mmm\-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FF8181"/>
      <color rgb="FF00D661"/>
      <color rgb="FFF0EEA0"/>
      <color rgb="FFFF4F4F"/>
      <color rgb="FFF0EA00"/>
      <color rgb="FF00DE64"/>
      <color rgb="FFA2131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 baseline="0"/>
              <a:t>VS Target as of August 26 </a:t>
            </a:r>
            <a:endParaRPr lang="en-MY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Charts!$A$4:$A$6</c:f>
              <c:strCache>
                <c:ptCount val="3"/>
                <c:pt idx="0">
                  <c:v>Order Accepted</c:v>
                </c:pt>
                <c:pt idx="1">
                  <c:v>Order Delivered</c:v>
                </c:pt>
                <c:pt idx="2">
                  <c:v>Churn</c:v>
                </c:pt>
              </c:strCache>
            </c:strRef>
          </c:cat>
          <c:val>
            <c:numRef>
              <c:f>Charts!$B$4:$B$6</c:f>
              <c:numCache>
                <c:formatCode>0.00,,\ "Mill"</c:formatCode>
                <c:ptCount val="3"/>
                <c:pt idx="0">
                  <c:v>35180000</c:v>
                </c:pt>
                <c:pt idx="1">
                  <c:v>32731000</c:v>
                </c:pt>
                <c:pt idx="2">
                  <c:v>4585000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F-4C56-BCA4-112C00DF52FE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Charts!$A$4:$A$6</c:f>
              <c:strCache>
                <c:ptCount val="3"/>
                <c:pt idx="0">
                  <c:v>Order Accepted</c:v>
                </c:pt>
                <c:pt idx="1">
                  <c:v>Order Delivered</c:v>
                </c:pt>
                <c:pt idx="2">
                  <c:v>Churn</c:v>
                </c:pt>
              </c:strCache>
            </c:strRef>
          </c:cat>
          <c:val>
            <c:numRef>
              <c:f>Charts!$C$4:$C$6</c:f>
              <c:numCache>
                <c:formatCode>0.00,,\ "Mill"</c:formatCode>
                <c:ptCount val="3"/>
                <c:pt idx="0">
                  <c:v>38030000</c:v>
                </c:pt>
                <c:pt idx="1">
                  <c:v>33900000</c:v>
                </c:pt>
                <c:pt idx="2">
                  <c:v>4030000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F-4C56-BCA4-112C00DF52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3349712"/>
        <c:axId val="673651696"/>
      </c:barChart>
      <c:catAx>
        <c:axId val="94334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51696"/>
        <c:crosses val="autoZero"/>
        <c:auto val="1"/>
        <c:lblAlgn val="ctr"/>
        <c:lblOffset val="100"/>
        <c:noMultiLvlLbl val="0"/>
      </c:catAx>
      <c:valAx>
        <c:axId val="673651696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34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</a:t>
            </a:r>
            <a:r>
              <a:rPr lang="en-MY" baseline="0"/>
              <a:t> A vs Target - OA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262001968007E-2"/>
                  <c:y val="-5.6076955550292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7A-4719-8D7F-739F8F2FEA3A}"/>
                </c:ext>
              </c:extLst>
            </c:dLbl>
            <c:dLbl>
              <c:idx val="7"/>
              <c:layout>
                <c:manualLayout>
                  <c:x val="-5.0825331503159189E-2"/>
                  <c:y val="-5.4255589860659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7A-4719-8D7F-739F8F2FEA3A}"/>
                </c:ext>
              </c:extLst>
            </c:dLbl>
            <c:spPr>
              <a:solidFill>
                <a:srgbClr val="0070C0">
                  <a:alpha val="1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Charts!$B$12:$B$23</c:f>
              <c:numCache>
                <c:formatCode>0.00,,\ "Mill"</c:formatCode>
                <c:ptCount val="12"/>
                <c:pt idx="0">
                  <c:v>1250000</c:v>
                </c:pt>
                <c:pt idx="1">
                  <c:v>1320000</c:v>
                </c:pt>
                <c:pt idx="2">
                  <c:v>1410000</c:v>
                </c:pt>
                <c:pt idx="3">
                  <c:v>1500000</c:v>
                </c:pt>
                <c:pt idx="4">
                  <c:v>1430000</c:v>
                </c:pt>
                <c:pt idx="5">
                  <c:v>1600000</c:v>
                </c:pt>
                <c:pt idx="6">
                  <c:v>1540000</c:v>
                </c:pt>
                <c:pt idx="7">
                  <c:v>1680000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7A-4719-8D7F-739F8F2FEA3A}"/>
            </c:ext>
          </c:extLst>
        </c:ser>
        <c:ser>
          <c:idx val="1"/>
          <c:order val="1"/>
          <c:tx>
            <c:strRef>
              <c:f>Charts!$C$11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50903644164126E-2"/>
                  <c:y val="5.140678711533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7A-4719-8D7F-739F8F2FEA3A}"/>
                </c:ext>
              </c:extLst>
            </c:dLbl>
            <c:dLbl>
              <c:idx val="7"/>
              <c:layout>
                <c:manualLayout>
                  <c:x val="-4.4244580769042766E-2"/>
                  <c:y val="5.892575829561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7A-4719-8D7F-739F8F2FEA3A}"/>
                </c:ext>
              </c:extLst>
            </c:dLbl>
            <c:spPr>
              <a:solidFill>
                <a:srgbClr val="A21310">
                  <a:alpha val="2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Charts!$C$12:$C$23</c:f>
              <c:numCache>
                <c:formatCode>0.00,,\ "Mill"</c:formatCode>
                <c:ptCount val="12"/>
                <c:pt idx="0">
                  <c:v>1000000</c:v>
                </c:pt>
                <c:pt idx="1">
                  <c:v>1620000</c:v>
                </c:pt>
                <c:pt idx="2">
                  <c:v>1510000</c:v>
                </c:pt>
                <c:pt idx="3">
                  <c:v>1800000</c:v>
                </c:pt>
                <c:pt idx="4">
                  <c:v>1600000</c:v>
                </c:pt>
                <c:pt idx="5">
                  <c:v>1600000</c:v>
                </c:pt>
                <c:pt idx="6">
                  <c:v>1800000</c:v>
                </c:pt>
                <c:pt idx="7">
                  <c:v>1600000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7A-4719-8D7F-739F8F2FEA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65520"/>
        <c:axId val="692177232"/>
      </c:lineChart>
      <c:catAx>
        <c:axId val="1083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7232"/>
        <c:crosses val="autoZero"/>
        <c:auto val="1"/>
        <c:lblAlgn val="ctr"/>
        <c:lblOffset val="100"/>
        <c:noMultiLvlLbl val="0"/>
      </c:catAx>
      <c:valAx>
        <c:axId val="692177232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</a:t>
            </a:r>
            <a:r>
              <a:rPr lang="en-MY" baseline="0"/>
              <a:t> B vs Target - OA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Charts!$G$11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262001968007E-2"/>
                  <c:y val="-5.6076955550292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51-4444-872A-A0F0BD89F829}"/>
                </c:ext>
              </c:extLst>
            </c:dLbl>
            <c:dLbl>
              <c:idx val="7"/>
              <c:layout>
                <c:manualLayout>
                  <c:x val="-5.0825331503159189E-2"/>
                  <c:y val="-5.4255589860659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51-4444-872A-A0F0BD89F829}"/>
                </c:ext>
              </c:extLst>
            </c:dLbl>
            <c:spPr>
              <a:solidFill>
                <a:srgbClr val="0070C0">
                  <a:alpha val="1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Charts!$F$12:$F$23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Charts!$G$12:$G$23</c:f>
              <c:numCache>
                <c:formatCode>0.00,,\ "Mill"</c:formatCode>
                <c:ptCount val="12"/>
                <c:pt idx="0">
                  <c:v>980000</c:v>
                </c:pt>
                <c:pt idx="1">
                  <c:v>1080000</c:v>
                </c:pt>
                <c:pt idx="2">
                  <c:v>1160000</c:v>
                </c:pt>
                <c:pt idx="3">
                  <c:v>1210000</c:v>
                </c:pt>
                <c:pt idx="4">
                  <c:v>1170000</c:v>
                </c:pt>
                <c:pt idx="5">
                  <c:v>1280000</c:v>
                </c:pt>
                <c:pt idx="6">
                  <c:v>1240000</c:v>
                </c:pt>
                <c:pt idx="7">
                  <c:v>1350000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1-4444-872A-A0F0BD89F829}"/>
            </c:ext>
          </c:extLst>
        </c:ser>
        <c:ser>
          <c:idx val="1"/>
          <c:order val="1"/>
          <c:tx>
            <c:strRef>
              <c:f>Charts!$H$11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50903644164126E-2"/>
                  <c:y val="5.140678711533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51-4444-872A-A0F0BD89F829}"/>
                </c:ext>
              </c:extLst>
            </c:dLbl>
            <c:dLbl>
              <c:idx val="7"/>
              <c:layout>
                <c:manualLayout>
                  <c:x val="-4.4244580769042766E-2"/>
                  <c:y val="5.892575829561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51-4444-872A-A0F0BD89F829}"/>
                </c:ext>
              </c:extLst>
            </c:dLbl>
            <c:spPr>
              <a:solidFill>
                <a:srgbClr val="A21310">
                  <a:alpha val="2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Charts!$F$12:$F$23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Charts!$H$12:$H$23</c:f>
              <c:numCache>
                <c:formatCode>0.00,,\ "Mill"</c:formatCode>
                <c:ptCount val="12"/>
                <c:pt idx="0">
                  <c:v>950000</c:v>
                </c:pt>
                <c:pt idx="1">
                  <c:v>1400000</c:v>
                </c:pt>
                <c:pt idx="2">
                  <c:v>1350000</c:v>
                </c:pt>
                <c:pt idx="3">
                  <c:v>1700000</c:v>
                </c:pt>
                <c:pt idx="4">
                  <c:v>1300000</c:v>
                </c:pt>
                <c:pt idx="5">
                  <c:v>1500000</c:v>
                </c:pt>
                <c:pt idx="6">
                  <c:v>1400000</c:v>
                </c:pt>
                <c:pt idx="7">
                  <c:v>1300000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1-4444-872A-A0F0BD89F8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65520"/>
        <c:axId val="692177232"/>
      </c:lineChart>
      <c:catAx>
        <c:axId val="1083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7232"/>
        <c:crosses val="autoZero"/>
        <c:auto val="1"/>
        <c:lblAlgn val="ctr"/>
        <c:lblOffset val="100"/>
        <c:noMultiLvlLbl val="0"/>
      </c:catAx>
      <c:valAx>
        <c:axId val="692177232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</a:t>
            </a:r>
            <a:r>
              <a:rPr lang="en-MY" baseline="0"/>
              <a:t> C vs Target - OA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Charts!$L$11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262001968007E-2"/>
                  <c:y val="-5.6076955550292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CC-4022-820A-3069A081DB22}"/>
                </c:ext>
              </c:extLst>
            </c:dLbl>
            <c:dLbl>
              <c:idx val="7"/>
              <c:layout>
                <c:manualLayout>
                  <c:x val="-3.9888036121114037E-2"/>
                  <c:y val="6.33315580546326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CC-4022-820A-3069A081DB22}"/>
                </c:ext>
              </c:extLst>
            </c:dLbl>
            <c:spPr>
              <a:solidFill>
                <a:srgbClr val="0070C0">
                  <a:alpha val="1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Charts!$K$12:$K$23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Charts!$L$12:$L$23</c:f>
              <c:numCache>
                <c:formatCode>0.00,,\ "Mill"</c:formatCode>
                <c:ptCount val="12"/>
                <c:pt idx="0">
                  <c:v>1450000</c:v>
                </c:pt>
                <c:pt idx="1">
                  <c:v>1580000</c:v>
                </c:pt>
                <c:pt idx="2">
                  <c:v>1720000</c:v>
                </c:pt>
                <c:pt idx="3">
                  <c:v>1810000</c:v>
                </c:pt>
                <c:pt idx="4">
                  <c:v>1690000</c:v>
                </c:pt>
                <c:pt idx="5">
                  <c:v>1910000</c:v>
                </c:pt>
                <c:pt idx="6">
                  <c:v>1840000</c:v>
                </c:pt>
                <c:pt idx="7">
                  <c:v>1980000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CC-4022-820A-3069A081DB22}"/>
            </c:ext>
          </c:extLst>
        </c:ser>
        <c:ser>
          <c:idx val="1"/>
          <c:order val="1"/>
          <c:tx>
            <c:strRef>
              <c:f>Charts!$M$11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50903644164126E-2"/>
                  <c:y val="5.140678711533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CC-4022-820A-3069A081DB22}"/>
                </c:ext>
              </c:extLst>
            </c:dLbl>
            <c:dLbl>
              <c:idx val="7"/>
              <c:layout>
                <c:manualLayout>
                  <c:x val="-4.4244540934145003E-2"/>
                  <c:y val="-5.3549007554797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CC-4022-820A-3069A081DB22}"/>
                </c:ext>
              </c:extLst>
            </c:dLbl>
            <c:spPr>
              <a:solidFill>
                <a:srgbClr val="A21310">
                  <a:alpha val="2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Charts!$K$12:$K$23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Charts!$M$12:$M$23</c:f>
              <c:numCache>
                <c:formatCode>0.00,,\ "Mill"</c:formatCode>
                <c:ptCount val="12"/>
                <c:pt idx="0">
                  <c:v>1400000</c:v>
                </c:pt>
                <c:pt idx="1">
                  <c:v>1700000</c:v>
                </c:pt>
                <c:pt idx="2">
                  <c:v>1900000</c:v>
                </c:pt>
                <c:pt idx="3">
                  <c:v>1800000</c:v>
                </c:pt>
                <c:pt idx="4">
                  <c:v>1800000</c:v>
                </c:pt>
                <c:pt idx="5">
                  <c:v>2000000</c:v>
                </c:pt>
                <c:pt idx="6">
                  <c:v>2000000</c:v>
                </c:pt>
                <c:pt idx="7">
                  <c:v>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CC-4022-820A-3069A081DB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65520"/>
        <c:axId val="692177232"/>
      </c:lineChart>
      <c:catAx>
        <c:axId val="1083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7232"/>
        <c:crosses val="autoZero"/>
        <c:auto val="1"/>
        <c:lblAlgn val="ctr"/>
        <c:lblOffset val="100"/>
        <c:noMultiLvlLbl val="0"/>
      </c:catAx>
      <c:valAx>
        <c:axId val="692177232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</a:t>
            </a:r>
            <a:r>
              <a:rPr lang="en-MY" baseline="0"/>
              <a:t> A vs Target - OD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Charts!$B$28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262001968007E-2"/>
                  <c:y val="-5.6076955550292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37-4AB3-A41F-74115F328568}"/>
                </c:ext>
              </c:extLst>
            </c:dLbl>
            <c:dLbl>
              <c:idx val="7"/>
              <c:layout>
                <c:manualLayout>
                  <c:x val="-5.0825331503159189E-2"/>
                  <c:y val="-5.4255589860659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37-4AB3-A41F-74115F328568}"/>
                </c:ext>
              </c:extLst>
            </c:dLbl>
            <c:spPr>
              <a:solidFill>
                <a:srgbClr val="0070C0">
                  <a:alpha val="1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Charts!$A$29:$A$40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Charts!$B$29:$B$40</c:f>
              <c:numCache>
                <c:formatCode>0.00,,\ "Mill"</c:formatCode>
                <c:ptCount val="12"/>
                <c:pt idx="0">
                  <c:v>1138000</c:v>
                </c:pt>
                <c:pt idx="1">
                  <c:v>1214000</c:v>
                </c:pt>
                <c:pt idx="2">
                  <c:v>1311000</c:v>
                </c:pt>
                <c:pt idx="3">
                  <c:v>1425000</c:v>
                </c:pt>
                <c:pt idx="4">
                  <c:v>1316000</c:v>
                </c:pt>
                <c:pt idx="5">
                  <c:v>1504000</c:v>
                </c:pt>
                <c:pt idx="6">
                  <c:v>1432000</c:v>
                </c:pt>
                <c:pt idx="7">
                  <c:v>1596000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37-4AB3-A41F-74115F328568}"/>
            </c:ext>
          </c:extLst>
        </c:ser>
        <c:ser>
          <c:idx val="1"/>
          <c:order val="1"/>
          <c:tx>
            <c:strRef>
              <c:f>Charts!$C$28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50903644164126E-2"/>
                  <c:y val="5.140678711533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37-4AB3-A41F-74115F328568}"/>
                </c:ext>
              </c:extLst>
            </c:dLbl>
            <c:dLbl>
              <c:idx val="7"/>
              <c:layout>
                <c:manualLayout>
                  <c:x val="-4.4244580769042766E-2"/>
                  <c:y val="5.892575829561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37-4AB3-A41F-74115F328568}"/>
                </c:ext>
              </c:extLst>
            </c:dLbl>
            <c:spPr>
              <a:solidFill>
                <a:srgbClr val="A21310">
                  <a:alpha val="2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Charts!$A$29:$A$40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Charts!$C$29:$C$40</c:f>
              <c:numCache>
                <c:formatCode>0.00,,\ "Mill"</c:formatCode>
                <c:ptCount val="12"/>
                <c:pt idx="0">
                  <c:v>1200000</c:v>
                </c:pt>
                <c:pt idx="1">
                  <c:v>1300000</c:v>
                </c:pt>
                <c:pt idx="2">
                  <c:v>1300000</c:v>
                </c:pt>
                <c:pt idx="3">
                  <c:v>1500000</c:v>
                </c:pt>
                <c:pt idx="4">
                  <c:v>1300000</c:v>
                </c:pt>
                <c:pt idx="5">
                  <c:v>1600000</c:v>
                </c:pt>
                <c:pt idx="6">
                  <c:v>1800000</c:v>
                </c:pt>
                <c:pt idx="7">
                  <c:v>1600000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37-4AB3-A41F-74115F3285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65520"/>
        <c:axId val="692177232"/>
      </c:lineChart>
      <c:catAx>
        <c:axId val="1083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7232"/>
        <c:crosses val="autoZero"/>
        <c:auto val="1"/>
        <c:lblAlgn val="ctr"/>
        <c:lblOffset val="100"/>
        <c:noMultiLvlLbl val="0"/>
      </c:catAx>
      <c:valAx>
        <c:axId val="692177232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</a:t>
            </a:r>
            <a:r>
              <a:rPr lang="en-MY" baseline="0"/>
              <a:t> B vs Target - OD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Charts!$G$28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2592376105613E-2"/>
                  <c:y val="8.14612836991997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96-4FB3-BC7B-CFFA1BE4BB87}"/>
                </c:ext>
              </c:extLst>
            </c:dLbl>
            <c:dLbl>
              <c:idx val="7"/>
              <c:layout>
                <c:manualLayout>
                  <c:x val="-5.0825331503159189E-2"/>
                  <c:y val="-5.4255589860659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96-4FB3-BC7B-CFFA1BE4BB87}"/>
                </c:ext>
              </c:extLst>
            </c:dLbl>
            <c:spPr>
              <a:solidFill>
                <a:srgbClr val="0070C0">
                  <a:alpha val="1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Charts!$F$29:$F$40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Charts!$G$29:$G$40</c:f>
              <c:numCache>
                <c:formatCode>0.00,,\ "Mill"</c:formatCode>
                <c:ptCount val="12"/>
                <c:pt idx="0">
                  <c:v>911000</c:v>
                </c:pt>
                <c:pt idx="1">
                  <c:v>1015000</c:v>
                </c:pt>
                <c:pt idx="2">
                  <c:v>1067000</c:v>
                </c:pt>
                <c:pt idx="3">
                  <c:v>1125000</c:v>
                </c:pt>
                <c:pt idx="4">
                  <c:v>1112000</c:v>
                </c:pt>
                <c:pt idx="5">
                  <c:v>1178000</c:v>
                </c:pt>
                <c:pt idx="6">
                  <c:v>1166000</c:v>
                </c:pt>
                <c:pt idx="7">
                  <c:v>1256000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96-4FB3-BC7B-CFFA1BE4BB87}"/>
            </c:ext>
          </c:extLst>
        </c:ser>
        <c:ser>
          <c:idx val="1"/>
          <c:order val="1"/>
          <c:tx>
            <c:strRef>
              <c:f>Charts!$H$28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309133775859521E-2"/>
                  <c:y val="-6.8256554353913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96-4FB3-BC7B-CFFA1BE4BB87}"/>
                </c:ext>
              </c:extLst>
            </c:dLbl>
            <c:dLbl>
              <c:idx val="7"/>
              <c:layout>
                <c:manualLayout>
                  <c:x val="-4.4244580769042766E-2"/>
                  <c:y val="5.892575829561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96-4FB3-BC7B-CFFA1BE4BB87}"/>
                </c:ext>
              </c:extLst>
            </c:dLbl>
            <c:spPr>
              <a:solidFill>
                <a:srgbClr val="A21310">
                  <a:alpha val="2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Charts!$F$29:$F$40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Charts!$H$29:$H$40</c:f>
              <c:numCache>
                <c:formatCode>0.00,,\ "Mill"</c:formatCode>
                <c:ptCount val="12"/>
                <c:pt idx="0">
                  <c:v>1000000</c:v>
                </c:pt>
                <c:pt idx="1">
                  <c:v>1200000</c:v>
                </c:pt>
                <c:pt idx="2">
                  <c:v>1100000</c:v>
                </c:pt>
                <c:pt idx="3">
                  <c:v>1200000</c:v>
                </c:pt>
                <c:pt idx="4">
                  <c:v>1200000</c:v>
                </c:pt>
                <c:pt idx="5">
                  <c:v>1200000</c:v>
                </c:pt>
                <c:pt idx="6">
                  <c:v>1200000</c:v>
                </c:pt>
                <c:pt idx="7">
                  <c:v>1200000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96-4FB3-BC7B-CFFA1BE4BB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65520"/>
        <c:axId val="692177232"/>
      </c:lineChart>
      <c:catAx>
        <c:axId val="1083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7232"/>
        <c:crosses val="autoZero"/>
        <c:auto val="1"/>
        <c:lblAlgn val="ctr"/>
        <c:lblOffset val="100"/>
        <c:noMultiLvlLbl val="0"/>
      </c:catAx>
      <c:valAx>
        <c:axId val="692177232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</a:t>
            </a:r>
            <a:r>
              <a:rPr lang="en-MY" baseline="0"/>
              <a:t> C vs Target - OD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Charts!$L$28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262001968007E-2"/>
                  <c:y val="-5.6076955550292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22-493A-969E-02A7908457FE}"/>
                </c:ext>
              </c:extLst>
            </c:dLbl>
            <c:dLbl>
              <c:idx val="7"/>
              <c:layout>
                <c:manualLayout>
                  <c:x val="-5.0825331503159189E-2"/>
                  <c:y val="-5.4255589860659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22-493A-969E-02A7908457FE}"/>
                </c:ext>
              </c:extLst>
            </c:dLbl>
            <c:spPr>
              <a:solidFill>
                <a:srgbClr val="0070C0">
                  <a:alpha val="1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Charts!$K$29:$K$40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Charts!$L$29:$L$40</c:f>
              <c:numCache>
                <c:formatCode>0.00,,\ "Mill"</c:formatCode>
                <c:ptCount val="12"/>
                <c:pt idx="0">
                  <c:v>1305000</c:v>
                </c:pt>
                <c:pt idx="1">
                  <c:v>1438000</c:v>
                </c:pt>
                <c:pt idx="2">
                  <c:v>1617000</c:v>
                </c:pt>
                <c:pt idx="3">
                  <c:v>1665000</c:v>
                </c:pt>
                <c:pt idx="4">
                  <c:v>1572000</c:v>
                </c:pt>
                <c:pt idx="5">
                  <c:v>1814000</c:v>
                </c:pt>
                <c:pt idx="6">
                  <c:v>1693000</c:v>
                </c:pt>
                <c:pt idx="7">
                  <c:v>1861000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2-493A-969E-02A7908457FE}"/>
            </c:ext>
          </c:extLst>
        </c:ser>
        <c:ser>
          <c:idx val="1"/>
          <c:order val="1"/>
          <c:tx>
            <c:strRef>
              <c:f>Charts!$M$28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50903644164126E-2"/>
                  <c:y val="5.140678711533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22-493A-969E-02A7908457FE}"/>
                </c:ext>
              </c:extLst>
            </c:dLbl>
            <c:dLbl>
              <c:idx val="7"/>
              <c:layout>
                <c:manualLayout>
                  <c:x val="-4.4244580769042766E-2"/>
                  <c:y val="5.892575829561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22-493A-969E-02A7908457FE}"/>
                </c:ext>
              </c:extLst>
            </c:dLbl>
            <c:spPr>
              <a:solidFill>
                <a:srgbClr val="A21310">
                  <a:alpha val="2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Charts!$K$29:$K$40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Charts!$M$29:$M$40</c:f>
              <c:numCache>
                <c:formatCode>0.00,,\ "Mill"</c:formatCode>
                <c:ptCount val="12"/>
                <c:pt idx="0">
                  <c:v>1300000</c:v>
                </c:pt>
                <c:pt idx="1">
                  <c:v>1400000</c:v>
                </c:pt>
                <c:pt idx="2">
                  <c:v>1600000</c:v>
                </c:pt>
                <c:pt idx="3">
                  <c:v>1600000</c:v>
                </c:pt>
                <c:pt idx="4">
                  <c:v>1500000</c:v>
                </c:pt>
                <c:pt idx="5">
                  <c:v>2000000</c:v>
                </c:pt>
                <c:pt idx="6">
                  <c:v>1800000</c:v>
                </c:pt>
                <c:pt idx="7">
                  <c:v>1800000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22-493A-969E-02A7908457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65520"/>
        <c:axId val="692177232"/>
      </c:lineChart>
      <c:catAx>
        <c:axId val="1083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7232"/>
        <c:crosses val="autoZero"/>
        <c:auto val="1"/>
        <c:lblAlgn val="ctr"/>
        <c:lblOffset val="100"/>
        <c:noMultiLvlLbl val="0"/>
      </c:catAx>
      <c:valAx>
        <c:axId val="692177232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</a:t>
            </a:r>
            <a:r>
              <a:rPr lang="en-MY" baseline="0"/>
              <a:t> A vs Target - Churn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Charts!$B$45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262001968007E-2"/>
                  <c:y val="-5.6076955550292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1A-441B-99AE-66E7CE5342C6}"/>
                </c:ext>
              </c:extLst>
            </c:dLbl>
            <c:dLbl>
              <c:idx val="7"/>
              <c:layout>
                <c:manualLayout>
                  <c:x val="-4.4224218421216314E-2"/>
                  <c:y val="6.8693905375806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1A-441B-99AE-66E7CE5342C6}"/>
                </c:ext>
              </c:extLst>
            </c:dLbl>
            <c:spPr>
              <a:solidFill>
                <a:srgbClr val="0070C0">
                  <a:alpha val="1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Charts!$A$46:$A$57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Charts!$B$46:$B$57</c:f>
              <c:numCache>
                <c:formatCode>0.00,,\ "Mill"</c:formatCode>
                <c:ptCount val="12"/>
                <c:pt idx="0">
                  <c:v>104000</c:v>
                </c:pt>
                <c:pt idx="1">
                  <c:v>102000</c:v>
                </c:pt>
                <c:pt idx="2">
                  <c:v>128000</c:v>
                </c:pt>
                <c:pt idx="3">
                  <c:v>90000</c:v>
                </c:pt>
                <c:pt idx="4">
                  <c:v>114000</c:v>
                </c:pt>
                <c:pt idx="5">
                  <c:v>104000</c:v>
                </c:pt>
                <c:pt idx="6">
                  <c:v>108000</c:v>
                </c:pt>
                <c:pt idx="7">
                  <c:v>192000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1A-441B-99AE-66E7CE5342C6}"/>
            </c:ext>
          </c:extLst>
        </c:ser>
        <c:ser>
          <c:idx val="1"/>
          <c:order val="1"/>
          <c:tx>
            <c:strRef>
              <c:f>Charts!$C$45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50903644164126E-2"/>
                  <c:y val="5.140678711533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1A-441B-99AE-66E7CE5342C6}"/>
                </c:ext>
              </c:extLst>
            </c:dLbl>
            <c:dLbl>
              <c:idx val="7"/>
              <c:layout>
                <c:manualLayout>
                  <c:x val="-4.4244662837785512E-2"/>
                  <c:y val="-4.86549391505686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1A-441B-99AE-66E7CE5342C6}"/>
                </c:ext>
              </c:extLst>
            </c:dLbl>
            <c:spPr>
              <a:solidFill>
                <a:srgbClr val="A21310">
                  <a:alpha val="2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Charts!$A$46:$A$57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Charts!$C$46:$C$57</c:f>
              <c:numCache>
                <c:formatCode>0.00,,\ "Mill"</c:formatCode>
                <c:ptCount val="12"/>
                <c:pt idx="0">
                  <c:v>100000</c:v>
                </c:pt>
                <c:pt idx="1">
                  <c:v>100000</c:v>
                </c:pt>
                <c:pt idx="2">
                  <c:v>120000</c:v>
                </c:pt>
                <c:pt idx="3">
                  <c:v>100000</c:v>
                </c:pt>
                <c:pt idx="4">
                  <c:v>150000</c:v>
                </c:pt>
                <c:pt idx="5">
                  <c:v>150000</c:v>
                </c:pt>
                <c:pt idx="6">
                  <c:v>150000</c:v>
                </c:pt>
                <c:pt idx="7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1A-441B-99AE-66E7CE5342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65520"/>
        <c:axId val="692177232"/>
      </c:lineChart>
      <c:catAx>
        <c:axId val="1083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7232"/>
        <c:crosses val="autoZero"/>
        <c:auto val="1"/>
        <c:lblAlgn val="ctr"/>
        <c:lblOffset val="100"/>
        <c:noMultiLvlLbl val="0"/>
      </c:catAx>
      <c:valAx>
        <c:axId val="692177232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</a:t>
            </a:r>
            <a:r>
              <a:rPr lang="en-MY" baseline="0"/>
              <a:t> B vs Target - Churn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Charts!$G$45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262001968007E-2"/>
                  <c:y val="-5.6076955550292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9A-4A10-A034-CF843533CED3}"/>
                </c:ext>
              </c:extLst>
            </c:dLbl>
            <c:dLbl>
              <c:idx val="5"/>
              <c:layout>
                <c:manualLayout>
                  <c:x val="-4.878228376954153E-2"/>
                  <c:y val="-6.46611104430587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9A-4A10-A034-CF843533CED3}"/>
                </c:ext>
              </c:extLst>
            </c:dLbl>
            <c:dLbl>
              <c:idx val="7"/>
              <c:layout>
                <c:manualLayout>
                  <c:x val="-5.0825331503159189E-2"/>
                  <c:y val="-5.4255589860659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A-4A10-A034-CF843533CED3}"/>
                </c:ext>
              </c:extLst>
            </c:dLbl>
            <c:spPr>
              <a:solidFill>
                <a:srgbClr val="0070C0">
                  <a:alpha val="1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Charts!$F$46:$F$57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Charts!$G$46:$G$57</c:f>
              <c:numCache>
                <c:formatCode>0.00,,\ "Mill"</c:formatCode>
                <c:ptCount val="12"/>
                <c:pt idx="0">
                  <c:v>206000</c:v>
                </c:pt>
                <c:pt idx="1">
                  <c:v>210000</c:v>
                </c:pt>
                <c:pt idx="2">
                  <c:v>281000</c:v>
                </c:pt>
                <c:pt idx="3">
                  <c:v>179000</c:v>
                </c:pt>
                <c:pt idx="4">
                  <c:v>364000</c:v>
                </c:pt>
                <c:pt idx="5">
                  <c:v>196000</c:v>
                </c:pt>
                <c:pt idx="6">
                  <c:v>174000</c:v>
                </c:pt>
                <c:pt idx="7">
                  <c:v>195000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9A-4A10-A034-CF843533CED3}"/>
            </c:ext>
          </c:extLst>
        </c:ser>
        <c:ser>
          <c:idx val="1"/>
          <c:order val="1"/>
          <c:tx>
            <c:strRef>
              <c:f>Charts!$H$45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50903644164126E-2"/>
                  <c:y val="5.140678711533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9A-4A10-A034-CF843533CED3}"/>
                </c:ext>
              </c:extLst>
            </c:dLbl>
            <c:dLbl>
              <c:idx val="5"/>
              <c:layout>
                <c:manualLayout>
                  <c:x val="-5.0982657417242991E-2"/>
                  <c:y val="5.95363859474405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9A-4A10-A034-CF843533CED3}"/>
                </c:ext>
              </c:extLst>
            </c:dLbl>
            <c:dLbl>
              <c:idx val="7"/>
              <c:layout>
                <c:manualLayout>
                  <c:x val="-4.4244580769042766E-2"/>
                  <c:y val="5.892575829561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9A-4A10-A034-CF843533CED3}"/>
                </c:ext>
              </c:extLst>
            </c:dLbl>
            <c:spPr>
              <a:solidFill>
                <a:srgbClr val="A21310">
                  <a:alpha val="2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Charts!$F$46:$F$57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Charts!$H$46:$H$57</c:f>
              <c:numCache>
                <c:formatCode>0.00,,\ "Mill"</c:formatCode>
                <c:ptCount val="12"/>
                <c:pt idx="0">
                  <c:v>200000</c:v>
                </c:pt>
                <c:pt idx="1">
                  <c:v>200000</c:v>
                </c:pt>
                <c:pt idx="2">
                  <c:v>280000</c:v>
                </c:pt>
                <c:pt idx="3">
                  <c:v>180000</c:v>
                </c:pt>
                <c:pt idx="4">
                  <c:v>200000</c:v>
                </c:pt>
                <c:pt idx="5">
                  <c:v>150000</c:v>
                </c:pt>
                <c:pt idx="6">
                  <c:v>200000</c:v>
                </c:pt>
                <c:pt idx="7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9A-4A10-A034-CF843533CE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65520"/>
        <c:axId val="692177232"/>
      </c:lineChart>
      <c:catAx>
        <c:axId val="1083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7232"/>
        <c:crosses val="autoZero"/>
        <c:auto val="1"/>
        <c:lblAlgn val="ctr"/>
        <c:lblOffset val="100"/>
        <c:noMultiLvlLbl val="0"/>
      </c:catAx>
      <c:valAx>
        <c:axId val="692177232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</a:t>
            </a:r>
            <a:r>
              <a:rPr lang="en-MY" baseline="0"/>
              <a:t> C vs Target - Churn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Charts!$L$45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262001968007E-2"/>
                  <c:y val="-5.6076955550292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09-40EC-B466-085ED70B8357}"/>
                </c:ext>
              </c:extLst>
            </c:dLbl>
            <c:dLbl>
              <c:idx val="3"/>
              <c:layout>
                <c:manualLayout>
                  <c:x val="-5.5383404712645967E-2"/>
                  <c:y val="-5.43921493172241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09-40EC-B466-085ED70B8357}"/>
                </c:ext>
              </c:extLst>
            </c:dLbl>
            <c:dLbl>
              <c:idx val="7"/>
              <c:layout>
                <c:manualLayout>
                  <c:x val="-5.0825331503159189E-2"/>
                  <c:y val="-5.4255589860659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09-40EC-B466-085ED70B8357}"/>
                </c:ext>
              </c:extLst>
            </c:dLbl>
            <c:spPr>
              <a:solidFill>
                <a:srgbClr val="0070C0">
                  <a:alpha val="1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Charts!$K$46:$K$57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Charts!$L$46:$L$57</c:f>
              <c:numCache>
                <c:formatCode>0.00,,\ "Mill"</c:formatCode>
                <c:ptCount val="12"/>
                <c:pt idx="0">
                  <c:v>116000</c:v>
                </c:pt>
                <c:pt idx="1">
                  <c:v>118000</c:v>
                </c:pt>
                <c:pt idx="2">
                  <c:v>195000</c:v>
                </c:pt>
                <c:pt idx="3">
                  <c:v>327000</c:v>
                </c:pt>
                <c:pt idx="4">
                  <c:v>410000</c:v>
                </c:pt>
                <c:pt idx="5">
                  <c:v>215000</c:v>
                </c:pt>
                <c:pt idx="6">
                  <c:v>138000</c:v>
                </c:pt>
                <c:pt idx="7">
                  <c:v>319000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09-40EC-B466-085ED70B8357}"/>
            </c:ext>
          </c:extLst>
        </c:ser>
        <c:ser>
          <c:idx val="1"/>
          <c:order val="1"/>
          <c:tx>
            <c:strRef>
              <c:f>Charts!$M$45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50903644164126E-2"/>
                  <c:y val="5.140678711533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09-40EC-B466-085ED70B8357}"/>
                </c:ext>
              </c:extLst>
            </c:dLbl>
            <c:dLbl>
              <c:idx val="7"/>
              <c:layout>
                <c:manualLayout>
                  <c:x val="-4.4244580769042766E-2"/>
                  <c:y val="5.892575829561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09-40EC-B466-085ED70B8357}"/>
                </c:ext>
              </c:extLst>
            </c:dLbl>
            <c:spPr>
              <a:solidFill>
                <a:srgbClr val="A21310">
                  <a:alpha val="29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Charts!$K$46:$K$57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Charts!$M$46:$M$57</c:f>
              <c:numCache>
                <c:formatCode>0.00,,\ "Mill"</c:formatCode>
                <c:ptCount val="12"/>
                <c:pt idx="0">
                  <c:v>100000</c:v>
                </c:pt>
                <c:pt idx="1">
                  <c:v>100000</c:v>
                </c:pt>
                <c:pt idx="2">
                  <c:v>200000</c:v>
                </c:pt>
                <c:pt idx="3">
                  <c:v>200000</c:v>
                </c:pt>
                <c:pt idx="4">
                  <c:v>200000</c:v>
                </c:pt>
                <c:pt idx="5">
                  <c:v>200000</c:v>
                </c:pt>
                <c:pt idx="6">
                  <c:v>150000</c:v>
                </c:pt>
                <c:pt idx="7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09-40EC-B466-085ED70B83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65520"/>
        <c:axId val="692177232"/>
      </c:lineChart>
      <c:catAx>
        <c:axId val="1083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77232"/>
        <c:crosses val="autoZero"/>
        <c:auto val="1"/>
        <c:lblAlgn val="ctr"/>
        <c:lblOffset val="100"/>
        <c:noMultiLvlLbl val="0"/>
      </c:catAx>
      <c:valAx>
        <c:axId val="692177232"/>
        <c:scaling>
          <c:orientation val="minMax"/>
        </c:scaling>
        <c:delete val="0"/>
        <c:axPos val="l"/>
        <c:numFmt formatCode="0.00,,\ &quot;Mil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471715</xdr:colOff>
      <xdr:row>9</xdr:row>
      <xdr:rowOff>90716</xdr:rowOff>
    </xdr:from>
    <xdr:to>
      <xdr:col>13</xdr:col>
      <xdr:colOff>311727</xdr:colOff>
      <xdr:row>27</xdr:row>
      <xdr:rowOff>136072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224BE-269E-4305-B636-5AE6A5228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444500</xdr:colOff>
      <xdr:row>41</xdr:row>
      <xdr:rowOff>163286</xdr:rowOff>
    </xdr:from>
    <xdr:to>
      <xdr:col>4</xdr:col>
      <xdr:colOff>741925</xdr:colOff>
      <xdr:row>55</xdr:row>
      <xdr:rowOff>43740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EAD518-BE20-4534-B478-3338F841A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426357</xdr:colOff>
      <xdr:row>56</xdr:row>
      <xdr:rowOff>27214</xdr:rowOff>
    </xdr:from>
    <xdr:to>
      <xdr:col>4</xdr:col>
      <xdr:colOff>753015</xdr:colOff>
      <xdr:row>69</xdr:row>
      <xdr:rowOff>90714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AEB01B-689B-4C08-9E16-02F7FF82F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435428</xdr:colOff>
      <xdr:row>70</xdr:row>
      <xdr:rowOff>99787</xdr:rowOff>
    </xdr:from>
    <xdr:to>
      <xdr:col>4</xdr:col>
      <xdr:colOff>762086</xdr:colOff>
      <xdr:row>83</xdr:row>
      <xdr:rowOff>172358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B0EC5A-BAD7-4A32-BC40-02AE5CC19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1027545</xdr:colOff>
      <xdr:row>41</xdr:row>
      <xdr:rowOff>150091</xdr:rowOff>
    </xdr:from>
    <xdr:to>
      <xdr:col>8</xdr:col>
      <xdr:colOff>320515</xdr:colOff>
      <xdr:row>55</xdr:row>
      <xdr:rowOff>30545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A48FE4-E1DD-4A78-B91A-E9ED4A340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1027545</xdr:colOff>
      <xdr:row>56</xdr:row>
      <xdr:rowOff>23090</xdr:rowOff>
    </xdr:from>
    <xdr:to>
      <xdr:col>8</xdr:col>
      <xdr:colOff>320515</xdr:colOff>
      <xdr:row>69</xdr:row>
      <xdr:rowOff>88272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584A67-CD58-4EBC-B279-38FE6CC63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1027543</xdr:colOff>
      <xdr:row>70</xdr:row>
      <xdr:rowOff>115454</xdr:rowOff>
    </xdr:from>
    <xdr:to>
      <xdr:col>8</xdr:col>
      <xdr:colOff>320513</xdr:colOff>
      <xdr:row>83</xdr:row>
      <xdr:rowOff>180636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9B4734-1782-4370-9A22-F1C8CC0DE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600363</xdr:colOff>
      <xdr:row>41</xdr:row>
      <xdr:rowOff>161636</xdr:rowOff>
    </xdr:from>
    <xdr:to>
      <xdr:col>13</xdr:col>
      <xdr:colOff>285879</xdr:colOff>
      <xdr:row>55</xdr:row>
      <xdr:rowOff>42090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52F7CD-9A28-4DE6-8B6A-BC2D56066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600363</xdr:colOff>
      <xdr:row>56</xdr:row>
      <xdr:rowOff>34635</xdr:rowOff>
    </xdr:from>
    <xdr:to>
      <xdr:col>13</xdr:col>
      <xdr:colOff>285879</xdr:colOff>
      <xdr:row>69</xdr:row>
      <xdr:rowOff>99817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B402E6-FAA6-47D3-ADE7-05FAFF234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588817</xdr:colOff>
      <xdr:row>70</xdr:row>
      <xdr:rowOff>126999</xdr:rowOff>
    </xdr:from>
    <xdr:to>
      <xdr:col>13</xdr:col>
      <xdr:colOff>274333</xdr:colOff>
      <xdr:row>84</xdr:row>
      <xdr:rowOff>7454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112568E-05EA-4552-8CEB-838B4A176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450272</xdr:colOff>
      <xdr:row>28</xdr:row>
      <xdr:rowOff>80817</xdr:rowOff>
    </xdr:from>
    <xdr:to>
      <xdr:col>13</xdr:col>
      <xdr:colOff>334817</xdr:colOff>
      <xdr:row>40</xdr:row>
      <xdr:rowOff>145144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915D1C-2C39-A2BA-BA07-526B14D53EF1}"/>
            </a:ext>
          </a:extLst>
        </xdr:cNvPr>
        <xdr:cNvSpPr txBox="1"/>
      </xdr:nvSpPr>
      <xdr:spPr>
        <a:xfrm>
          <a:off x="450272" y="5160817"/>
          <a:ext cx="17945759" cy="22414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Summary</a:t>
          </a:r>
        </a:p>
        <a:p>
          <a:r>
            <a:rPr lang="en-MY" sz="1100" b="1"/>
            <a:t>1.OA</a:t>
          </a:r>
        </a:p>
        <a:p>
          <a:r>
            <a:rPr lang="en-MY" sz="1100"/>
            <a:t>As of </a:t>
          </a:r>
          <a:r>
            <a:rPr lang="en-MY" sz="1100" b="1"/>
            <a:t>August</a:t>
          </a:r>
          <a:r>
            <a:rPr lang="en-MY" sz="1100" b="1" baseline="0"/>
            <a:t> 2026</a:t>
          </a:r>
          <a:r>
            <a:rPr lang="en-MY" sz="1100" baseline="0"/>
            <a:t>, </a:t>
          </a:r>
          <a:r>
            <a:rPr lang="en-MY" sz="1100" b="1" baseline="0"/>
            <a:t>Order Accepted </a:t>
          </a:r>
          <a:r>
            <a:rPr lang="en-MY" sz="1100" baseline="0"/>
            <a:t>achieved </a:t>
          </a:r>
          <a:r>
            <a:rPr lang="en-MY" sz="1100" b="1" baseline="0"/>
            <a:t>93% </a:t>
          </a:r>
          <a:r>
            <a:rPr lang="en-MY" sz="1100" baseline="0"/>
            <a:t>of the target. </a:t>
          </a:r>
          <a:r>
            <a:rPr lang="en-MY" sz="1100" b="1" baseline="0"/>
            <a:t>Product C</a:t>
          </a:r>
          <a:r>
            <a:rPr lang="en-MY" sz="1100" baseline="0"/>
            <a:t> is a </a:t>
          </a:r>
          <a:r>
            <a:rPr lang="en-MY" sz="1100" b="1" baseline="0"/>
            <a:t>major contribution </a:t>
          </a:r>
          <a:r>
            <a:rPr lang="en-MY" sz="1100" baseline="0"/>
            <a:t>of the total target as of August, which is </a:t>
          </a:r>
          <a:r>
            <a:rPr lang="en-MY" sz="1100" b="1" baseline="0"/>
            <a:t>37%</a:t>
          </a:r>
          <a:r>
            <a:rPr lang="en-MY" sz="1100" baseline="0"/>
            <a:t> followed by </a:t>
          </a:r>
          <a:r>
            <a:rPr lang="en-MY" sz="1100" b="1" baseline="0"/>
            <a:t>Product A 31%. </a:t>
          </a:r>
          <a:r>
            <a:rPr lang="en-MY" sz="1100" baseline="0"/>
            <a:t>In </a:t>
          </a:r>
          <a:r>
            <a:rPr lang="en-MY" sz="1100" b="1" baseline="0"/>
            <a:t>August</a:t>
          </a:r>
          <a:r>
            <a:rPr lang="en-MY" sz="1100" baseline="0"/>
            <a:t>, </a:t>
          </a:r>
          <a:r>
            <a:rPr lang="en-MY" sz="1100" b="1" baseline="0"/>
            <a:t>product A exceeded </a:t>
          </a:r>
          <a:r>
            <a:rPr lang="en-MY" sz="1100" baseline="0"/>
            <a:t>the target </a:t>
          </a:r>
          <a:r>
            <a:rPr lang="en-MY" sz="1100" b="1" baseline="0"/>
            <a:t>by 105%, </a:t>
          </a:r>
          <a:r>
            <a:rPr lang="en-MY" sz="1100" baseline="0"/>
            <a:t>as well as </a:t>
          </a:r>
          <a:r>
            <a:rPr lang="en-MY" sz="1100" b="1" baseline="0"/>
            <a:t>product B by 104% </a:t>
          </a:r>
          <a:r>
            <a:rPr lang="en-MY" sz="1100" baseline="0"/>
            <a:t>and </a:t>
          </a:r>
          <a:r>
            <a:rPr lang="en-MY" sz="1100" b="1" baseline="0"/>
            <a:t>product C</a:t>
          </a:r>
          <a:r>
            <a:rPr lang="en-MY" sz="1100" baseline="0"/>
            <a:t> attain just </a:t>
          </a:r>
          <a:r>
            <a:rPr lang="en-MY" sz="1100" b="1" baseline="0"/>
            <a:t>below the target </a:t>
          </a:r>
          <a:r>
            <a:rPr lang="en-MY" sz="1100" baseline="0"/>
            <a:t>by </a:t>
          </a:r>
          <a:r>
            <a:rPr lang="en-MY" sz="1100" b="1" baseline="0"/>
            <a:t>99%</a:t>
          </a:r>
          <a:r>
            <a:rPr lang="en-MY" sz="1100" baseline="0"/>
            <a:t>. This month shows a </a:t>
          </a:r>
          <a:r>
            <a:rPr lang="en-MY" sz="1100" b="1" baseline="0"/>
            <a:t>positive result </a:t>
          </a:r>
          <a:r>
            <a:rPr lang="en-MY" sz="1100" baseline="0"/>
            <a:t>after </a:t>
          </a:r>
          <a:r>
            <a:rPr lang="en-MY" sz="1100" b="1" baseline="0"/>
            <a:t>7 consecutive months </a:t>
          </a:r>
          <a:r>
            <a:rPr lang="en-MY" sz="1100" baseline="0"/>
            <a:t>of being </a:t>
          </a:r>
          <a:r>
            <a:rPr lang="en-MY" sz="1100" b="1" baseline="0"/>
            <a:t>below</a:t>
          </a:r>
          <a:r>
            <a:rPr lang="en-MY" sz="1100" baseline="0"/>
            <a:t> </a:t>
          </a:r>
          <a:r>
            <a:rPr lang="en-MY" sz="1100" b="1" baseline="0"/>
            <a:t>target</a:t>
          </a:r>
          <a:r>
            <a:rPr lang="en-MY" sz="1100" baseline="0"/>
            <a:t> for nearly all products. The </a:t>
          </a:r>
          <a:r>
            <a:rPr lang="en-MY" sz="1100" b="1" baseline="0"/>
            <a:t>performance trend</a:t>
          </a:r>
          <a:r>
            <a:rPr lang="en-MY" sz="1100" baseline="0"/>
            <a:t> across </a:t>
          </a:r>
          <a:r>
            <a:rPr lang="en-MY" sz="1100" b="1" baseline="0"/>
            <a:t>all products remained consisten</a:t>
          </a:r>
          <a:r>
            <a:rPr lang="en-MY" sz="1100" baseline="0"/>
            <a:t>, with </a:t>
          </a:r>
          <a:r>
            <a:rPr lang="en-MY" sz="1100" b="1" baseline="0"/>
            <a:t>improvements</a:t>
          </a:r>
          <a:r>
            <a:rPr lang="en-MY" sz="1100" baseline="0"/>
            <a:t> observed in </a:t>
          </a:r>
          <a:r>
            <a:rPr lang="en-MY" sz="1100" b="1" baseline="0"/>
            <a:t>August</a:t>
          </a:r>
          <a:r>
            <a:rPr lang="en-MY" sz="1100" baseline="0"/>
            <a:t>.</a:t>
          </a:r>
        </a:p>
        <a:p>
          <a:endParaRPr lang="en-MY" sz="1100"/>
        </a:p>
        <a:p>
          <a:r>
            <a:rPr lang="en-MY" sz="1100" b="1"/>
            <a:t>2.OD</a:t>
          </a:r>
        </a:p>
        <a:p>
          <a:r>
            <a:rPr lang="en-MY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 of </a:t>
          </a:r>
          <a:r>
            <a:rPr lang="en-MY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August</a:t>
          </a:r>
          <a:r>
            <a:rPr lang="en-M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2026</a:t>
          </a:r>
          <a:r>
            <a:rPr lang="en-MY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M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Delivered </a:t>
          </a:r>
          <a:r>
            <a:rPr lang="en-MY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achieved </a:t>
          </a:r>
          <a:r>
            <a:rPr lang="en-M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97% </a:t>
          </a:r>
          <a:r>
            <a:rPr lang="en-MY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the overall target. </a:t>
          </a:r>
          <a:r>
            <a:rPr lang="en-M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C</a:t>
          </a:r>
          <a:r>
            <a:rPr lang="en-MY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made the </a:t>
          </a:r>
          <a:r>
            <a:rPr lang="en-M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largest contribution </a:t>
          </a:r>
          <a:r>
            <a:rPr lang="en-MY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the total target at </a:t>
          </a:r>
          <a:r>
            <a:rPr lang="en-M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38%</a:t>
          </a:r>
          <a:r>
            <a:rPr lang="en-MY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followed by </a:t>
          </a:r>
          <a:r>
            <a:rPr lang="en-M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B</a:t>
          </a:r>
          <a:r>
            <a:rPr lang="en-MY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 </a:t>
          </a:r>
          <a:r>
            <a:rPr lang="en-M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32%</a:t>
          </a:r>
          <a:r>
            <a:rPr lang="en-MY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MY" sz="1100"/>
            <a:t>3.</a:t>
          </a:r>
          <a:r>
            <a:rPr lang="en-MY" sz="1100" baseline="0"/>
            <a:t> Notably, in </a:t>
          </a:r>
          <a:r>
            <a:rPr lang="en-MY" sz="1100" b="1" baseline="0"/>
            <a:t>August</a:t>
          </a:r>
          <a:r>
            <a:rPr lang="en-MY" sz="1100" baseline="0"/>
            <a:t> , </a:t>
          </a:r>
          <a:r>
            <a:rPr lang="en-MY" sz="1100" b="1" baseline="0"/>
            <a:t>Product C</a:t>
          </a:r>
          <a:r>
            <a:rPr lang="en-MY" sz="1100" baseline="0"/>
            <a:t> </a:t>
          </a:r>
          <a:r>
            <a:rPr lang="en-MY" sz="1100" b="1" baseline="0"/>
            <a:t>nearly attained </a:t>
          </a:r>
          <a:r>
            <a:rPr lang="en-MY" sz="1100" baseline="0"/>
            <a:t>the </a:t>
          </a:r>
          <a:r>
            <a:rPr lang="en-MY" sz="1100" b="1" baseline="0"/>
            <a:t>overall  target</a:t>
          </a:r>
          <a:r>
            <a:rPr lang="en-MY" sz="1100" baseline="0"/>
            <a:t>, achieving</a:t>
          </a:r>
          <a:r>
            <a:rPr lang="en-MY" sz="1100" b="1" baseline="0"/>
            <a:t> 99.7%. </a:t>
          </a:r>
          <a:r>
            <a:rPr lang="en-MY" sz="1100" baseline="0"/>
            <a:t>This result was supported by </a:t>
          </a:r>
          <a:r>
            <a:rPr lang="en-MY" sz="1100" b="1" baseline="0"/>
            <a:t>its performance exceeding</a:t>
          </a:r>
          <a:r>
            <a:rPr lang="en-MY" sz="1100" baseline="0"/>
            <a:t> the </a:t>
          </a:r>
          <a:r>
            <a:rPr lang="en-MY" sz="1100" b="1" baseline="0"/>
            <a:t>target</a:t>
          </a:r>
          <a:r>
            <a:rPr lang="en-MY" sz="1100" baseline="0"/>
            <a:t> in </a:t>
          </a:r>
          <a:r>
            <a:rPr lang="en-MY" sz="1100" b="1" baseline="0"/>
            <a:t>Feb</a:t>
          </a:r>
          <a:r>
            <a:rPr lang="en-MY" sz="1100" baseline="0"/>
            <a:t>,</a:t>
          </a:r>
          <a:r>
            <a:rPr lang="en-MY" sz="1100" b="1" baseline="0"/>
            <a:t>Mar</a:t>
          </a:r>
          <a:r>
            <a:rPr lang="en-MY" sz="1100" baseline="0"/>
            <a:t>,</a:t>
          </a:r>
          <a:r>
            <a:rPr lang="en-MY" sz="1100" b="1" baseline="0"/>
            <a:t>Apr</a:t>
          </a:r>
          <a:r>
            <a:rPr lang="en-MY" sz="1100" baseline="0"/>
            <a:t> and </a:t>
          </a:r>
          <a:r>
            <a:rPr lang="en-MY" sz="1100" b="1" baseline="0"/>
            <a:t>Aug</a:t>
          </a:r>
          <a:r>
            <a:rPr lang="en-MY" sz="1100" baseline="0"/>
            <a:t>. Furthermore, </a:t>
          </a:r>
          <a:r>
            <a:rPr lang="en-MY" sz="1100" b="1" baseline="0"/>
            <a:t>Product A</a:t>
          </a:r>
          <a:r>
            <a:rPr lang="en-MY" sz="1100" baseline="0"/>
            <a:t> attained </a:t>
          </a:r>
          <a:r>
            <a:rPr lang="en-MY" sz="1100" b="1" baseline="0"/>
            <a:t>100%</a:t>
          </a:r>
          <a:r>
            <a:rPr lang="en-MY" sz="1100" baseline="0"/>
            <a:t> </a:t>
          </a:r>
          <a:r>
            <a:rPr lang="en-MY" sz="1100" b="0" baseline="0"/>
            <a:t>and</a:t>
          </a:r>
          <a:r>
            <a:rPr lang="en-MY" sz="1100" b="1" baseline="0"/>
            <a:t> Product </a:t>
          </a:r>
          <a:r>
            <a:rPr lang="en-MY" sz="1100" baseline="0"/>
            <a:t>B achieved </a:t>
          </a:r>
          <a:r>
            <a:rPr lang="en-MY" sz="1100" b="1" baseline="0"/>
            <a:t>103%</a:t>
          </a:r>
          <a:r>
            <a:rPr lang="en-MY" sz="1100" baseline="0"/>
            <a:t>, indicating strong performance across all 3 products in this month. </a:t>
          </a:r>
        </a:p>
        <a:p>
          <a:endParaRPr lang="en-MY" sz="1100" baseline="0"/>
        </a:p>
        <a:p>
          <a:r>
            <a:rPr lang="en-MY" sz="1100" b="1" baseline="0"/>
            <a:t>3. Churn</a:t>
          </a:r>
        </a:p>
        <a:p>
          <a:r>
            <a:rPr lang="en-MY" sz="1100" baseline="0"/>
            <a:t>As of </a:t>
          </a:r>
          <a:r>
            <a:rPr lang="en-MY" sz="1100" b="1" baseline="0"/>
            <a:t>August 2026</a:t>
          </a:r>
          <a:r>
            <a:rPr lang="en-MY" sz="1100" baseline="0"/>
            <a:t>, </a:t>
          </a:r>
          <a:r>
            <a:rPr lang="en-MY" sz="1100" b="1" baseline="0"/>
            <a:t>Churn </a:t>
          </a:r>
          <a:r>
            <a:rPr lang="en-MY" sz="1100" b="0" baseline="0"/>
            <a:t>recorded</a:t>
          </a:r>
          <a:r>
            <a:rPr lang="en-MY" sz="1100" b="1" baseline="0"/>
            <a:t> 113.8% </a:t>
          </a:r>
          <a:r>
            <a:rPr lang="en-MY" sz="1100" baseline="0"/>
            <a:t>of the overall target,</a:t>
          </a:r>
          <a:r>
            <a:rPr lang="en-MY" sz="1100" b="1" baseline="0"/>
            <a:t>exceeding</a:t>
          </a:r>
          <a:r>
            <a:rPr lang="en-MY" sz="1100" baseline="0"/>
            <a:t> the target by </a:t>
          </a:r>
          <a:r>
            <a:rPr lang="en-MY" sz="1100" b="1" baseline="0"/>
            <a:t>13.8%. </a:t>
          </a:r>
          <a:r>
            <a:rPr lang="en-MY" sz="1100" baseline="0"/>
            <a:t>This was </a:t>
          </a:r>
          <a:r>
            <a:rPr lang="en-MY" sz="1100" b="1" baseline="0"/>
            <a:t>primarily driven by Product C</a:t>
          </a:r>
          <a:r>
            <a:rPr lang="en-MY" sz="1100" baseline="0"/>
            <a:t>,which showed an </a:t>
          </a:r>
          <a:r>
            <a:rPr lang="en-MY" sz="1100" b="1" baseline="0"/>
            <a:t>upward trend in March </a:t>
          </a:r>
          <a:r>
            <a:rPr lang="en-MY" sz="1100" baseline="0"/>
            <a:t>and </a:t>
          </a:r>
          <a:r>
            <a:rPr lang="en-MY" sz="1100" b="1" baseline="0"/>
            <a:t>April</a:t>
          </a:r>
          <a:r>
            <a:rPr lang="en-MY" sz="1100" baseline="0"/>
            <a:t>, followed by a </a:t>
          </a:r>
          <a:r>
            <a:rPr lang="en-MY" sz="1100" b="1" baseline="0"/>
            <a:t>significant spike</a:t>
          </a:r>
          <a:r>
            <a:rPr lang="en-MY" sz="1100" baseline="0"/>
            <a:t> in </a:t>
          </a:r>
          <a:r>
            <a:rPr lang="en-MY" sz="1100" b="1" baseline="0"/>
            <a:t>May</a:t>
          </a:r>
          <a:r>
            <a:rPr lang="en-MY" sz="1100" baseline="0"/>
            <a:t>, reaching </a:t>
          </a:r>
          <a:r>
            <a:rPr lang="en-MY" sz="1100" b="1" baseline="0"/>
            <a:t>182%</a:t>
          </a:r>
          <a:r>
            <a:rPr lang="en-MY" sz="1100" baseline="0"/>
            <a:t>. Although the value </a:t>
          </a:r>
          <a:r>
            <a:rPr lang="en-MY" sz="1100" b="1" baseline="0"/>
            <a:t>decline in June</a:t>
          </a:r>
          <a:r>
            <a:rPr lang="en-MY" sz="1100" baseline="0"/>
            <a:t>, it </a:t>
          </a:r>
          <a:r>
            <a:rPr lang="en-MY" sz="1100" b="1" baseline="0"/>
            <a:t>remained</a:t>
          </a:r>
          <a:r>
            <a:rPr lang="en-MY" sz="1100" baseline="0"/>
            <a:t> </a:t>
          </a:r>
          <a:r>
            <a:rPr lang="en-MY" sz="1100" b="1" baseline="0"/>
            <a:t>above target </a:t>
          </a:r>
          <a:r>
            <a:rPr lang="en-MY" sz="1100" baseline="0"/>
            <a:t>and experienced </a:t>
          </a:r>
          <a:r>
            <a:rPr lang="en-MY" sz="1100" b="1" baseline="0"/>
            <a:t>another spike </a:t>
          </a:r>
          <a:r>
            <a:rPr lang="en-MY" sz="1100" baseline="0"/>
            <a:t>in </a:t>
          </a:r>
          <a:r>
            <a:rPr lang="en-MY" sz="1100" b="1" baseline="0"/>
            <a:t>August 2026 at 160%. </a:t>
          </a:r>
          <a:r>
            <a:rPr lang="en-MY" sz="1100" baseline="0"/>
            <a:t>Furthermore,</a:t>
          </a:r>
          <a:r>
            <a:rPr lang="en-MY" sz="1100" b="1" baseline="0"/>
            <a:t>Product B</a:t>
          </a:r>
          <a:r>
            <a:rPr lang="en-MY" sz="1100" baseline="0"/>
            <a:t> also recorded a </a:t>
          </a:r>
          <a:r>
            <a:rPr lang="en-MY" sz="1100" b="1" baseline="0"/>
            <a:t>significant spike in May</a:t>
          </a:r>
          <a:r>
            <a:rPr lang="en-MY" sz="1100" baseline="0"/>
            <a:t>, </a:t>
          </a:r>
          <a:r>
            <a:rPr lang="en-MY" sz="1100" b="0" baseline="0"/>
            <a:t>reaching</a:t>
          </a:r>
          <a:r>
            <a:rPr lang="en-MY" sz="1100" b="1" baseline="0"/>
            <a:t> 205</a:t>
          </a:r>
          <a:r>
            <a:rPr lang="en-MY" sz="1100" baseline="0"/>
            <a:t>%. Despite a </a:t>
          </a:r>
          <a:r>
            <a:rPr lang="en-MY" sz="1100" b="1" baseline="0"/>
            <a:t>decline in June</a:t>
          </a:r>
          <a:r>
            <a:rPr lang="en-MY" sz="1100" baseline="0"/>
            <a:t>, its </a:t>
          </a:r>
          <a:r>
            <a:rPr lang="en-MY" sz="1100" b="1" baseline="0"/>
            <a:t>churn remained above the target at 131%.</a:t>
          </a:r>
          <a:endParaRPr lang="en-MY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2.627258101849" createdVersion="8" refreshedVersion="8" minRefreshableVersion="3" recordCount="24" xr:uid="{A226F84A-90B5-4C0B-AED5-FDC62AD99387}">
  <cacheSource type="worksheet">
    <worksheetSource ref="A1:C25" sheet="Order Accepted"/>
  </cacheSource>
  <cacheFields count="5">
    <cacheField name="MMYYYY" numFmtId="17">
      <sharedItems containsSemiMixedTypes="0" containsNonDate="0" containsDate="1" containsString="0" minDate="2026-01-26T00:00:00" maxDate="2026-08-27T00:00:00" count="8">
        <d v="2026-01-26T00:00:00"/>
        <d v="2026-02-26T00:00:00"/>
        <d v="2026-03-26T00:00:00"/>
        <d v="2026-04-26T00:00:00"/>
        <d v="2026-05-26T00:00:00"/>
        <d v="2026-06-26T00:00:00"/>
        <d v="2026-07-26T00:00:00"/>
        <d v="2026-08-26T00:00:00"/>
      </sharedItems>
      <fieldGroup par="4"/>
    </cacheField>
    <cacheField name="Product" numFmtId="0">
      <sharedItems count="3">
        <s v="Product A"/>
        <s v="Product B"/>
        <s v="Product C"/>
      </sharedItems>
    </cacheField>
    <cacheField name="Value" numFmtId="3">
      <sharedItems containsSemiMixedTypes="0" containsString="0" containsNumber="1" containsInteger="1" minValue="980000" maxValue="1980000"/>
    </cacheField>
    <cacheField name="Days (MMYYYY)" numFmtId="0" databaseField="0">
      <fieldGroup base="0">
        <rangePr groupBy="days" startDate="2026-01-26T00:00:00" endDate="2026-08-27T00:00:00"/>
        <groupItems count="368">
          <s v="&lt;2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/8/2026"/>
        </groupItems>
      </fieldGroup>
    </cacheField>
    <cacheField name="Months (MMYYYY)" numFmtId="0" databaseField="0">
      <fieldGroup base="0">
        <rangePr groupBy="months" startDate="2026-01-26T00:00:00" endDate="2026-08-27T00:00:00"/>
        <groupItems count="14">
          <s v="&lt;2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2.627259953704" createdVersion="8" refreshedVersion="8" minRefreshableVersion="3" recordCount="24" xr:uid="{4AF8B8D3-C2E3-4BED-90FA-13444AC61864}">
  <cacheSource type="worksheet">
    <worksheetSource name="Table2"/>
  </cacheSource>
  <cacheFields count="5">
    <cacheField name="MMYYYY" numFmtId="17">
      <sharedItems containsSemiMixedTypes="0" containsNonDate="0" containsDate="1" containsString="0" minDate="2026-01-26T00:00:00" maxDate="2026-08-27T00:00:00" count="8">
        <d v="2026-01-26T00:00:00"/>
        <d v="2026-02-26T00:00:00"/>
        <d v="2026-03-26T00:00:00"/>
        <d v="2026-04-26T00:00:00"/>
        <d v="2026-05-26T00:00:00"/>
        <d v="2026-06-26T00:00:00"/>
        <d v="2026-07-26T00:00:00"/>
        <d v="2026-08-26T00:00:00"/>
      </sharedItems>
      <fieldGroup par="4"/>
    </cacheField>
    <cacheField name="Product" numFmtId="0">
      <sharedItems count="3">
        <s v="Product A"/>
        <s v="Product B"/>
        <s v="Product C"/>
      </sharedItems>
    </cacheField>
    <cacheField name="Value" numFmtId="3">
      <sharedItems containsSemiMixedTypes="0" containsString="0" containsNumber="1" containsInteger="1" minValue="911000" maxValue="1861000"/>
    </cacheField>
    <cacheField name="Days (MMYYYY)" numFmtId="0" databaseField="0">
      <fieldGroup base="0">
        <rangePr groupBy="days" startDate="2026-01-26T00:00:00" endDate="2026-08-27T00:00:00"/>
        <groupItems count="368">
          <s v="&lt;2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/8/2026"/>
        </groupItems>
      </fieldGroup>
    </cacheField>
    <cacheField name="Months (MMYYYY)" numFmtId="0" databaseField="0">
      <fieldGroup base="0">
        <rangePr groupBy="months" startDate="2026-01-26T00:00:00" endDate="2026-08-27T00:00:00"/>
        <groupItems count="14">
          <s v="&lt;2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2.627261689813" createdVersion="8" refreshedVersion="8" minRefreshableVersion="3" recordCount="24" xr:uid="{AE28CF72-5F88-4889-A150-85AD67FED717}">
  <cacheSource type="worksheet">
    <worksheetSource name="Table3"/>
  </cacheSource>
  <cacheFields count="5">
    <cacheField name="MMYYYY" numFmtId="17">
      <sharedItems containsSemiMixedTypes="0" containsNonDate="0" containsDate="1" containsString="0" minDate="2026-01-26T00:00:00" maxDate="2026-08-27T00:00:00" count="8">
        <d v="2026-01-26T00:00:00"/>
        <d v="2026-02-26T00:00:00"/>
        <d v="2026-03-26T00:00:00"/>
        <d v="2026-04-26T00:00:00"/>
        <d v="2026-05-26T00:00:00"/>
        <d v="2026-06-26T00:00:00"/>
        <d v="2026-07-26T00:00:00"/>
        <d v="2026-08-26T00:00:00"/>
      </sharedItems>
      <fieldGroup par="4"/>
    </cacheField>
    <cacheField name="Product" numFmtId="0">
      <sharedItems count="3">
        <s v="Product A"/>
        <s v="Product B"/>
        <s v="Product C"/>
      </sharedItems>
    </cacheField>
    <cacheField name="Value" numFmtId="3">
      <sharedItems containsSemiMixedTypes="0" containsString="0" containsNumber="1" containsInteger="1" minValue="90000" maxValue="410000"/>
    </cacheField>
    <cacheField name="Days (MMYYYY)" numFmtId="0" databaseField="0">
      <fieldGroup base="0">
        <rangePr groupBy="days" startDate="2026-01-26T00:00:00" endDate="2026-08-27T00:00:00"/>
        <groupItems count="368">
          <s v="&lt;2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/8/2026"/>
        </groupItems>
      </fieldGroup>
    </cacheField>
    <cacheField name="Months (MMYYYY)" numFmtId="0" databaseField="0">
      <fieldGroup base="0">
        <rangePr groupBy="months" startDate="2026-01-26T00:00:00" endDate="2026-08-27T00:00:00"/>
        <groupItems count="14">
          <s v="&lt;2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2.627263657407" createdVersion="8" refreshedVersion="8" minRefreshableVersion="3" recordCount="24" xr:uid="{BCE96BBC-A273-478F-89E3-9996B078E920}">
  <cacheSource type="worksheet">
    <worksheetSource name="Table15"/>
  </cacheSource>
  <cacheFields count="5">
    <cacheField name="MMYYYY" numFmtId="17">
      <sharedItems containsSemiMixedTypes="0" containsNonDate="0" containsDate="1" containsString="0" minDate="2026-01-26T00:00:00" maxDate="2026-08-27T00:00:00" count="8">
        <d v="2026-01-26T00:00:00"/>
        <d v="2026-02-26T00:00:00"/>
        <d v="2026-03-26T00:00:00"/>
        <d v="2026-04-26T00:00:00"/>
        <d v="2026-05-26T00:00:00"/>
        <d v="2026-06-26T00:00:00"/>
        <d v="2026-07-26T00:00:00"/>
        <d v="2026-08-26T00:00:00"/>
      </sharedItems>
      <fieldGroup par="4"/>
    </cacheField>
    <cacheField name="Product" numFmtId="0">
      <sharedItems count="3">
        <s v="Product A"/>
        <s v="Product B"/>
        <s v="Product C"/>
      </sharedItems>
    </cacheField>
    <cacheField name="Value" numFmtId="3">
      <sharedItems containsSemiMixedTypes="0" containsString="0" containsNumber="1" containsInteger="1" minValue="950000" maxValue="2000000"/>
    </cacheField>
    <cacheField name="Days (MMYYYY)" numFmtId="0" databaseField="0">
      <fieldGroup base="0">
        <rangePr groupBy="days" startDate="2026-01-26T00:00:00" endDate="2026-08-27T00:00:00"/>
        <groupItems count="368">
          <s v="&lt;2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/8/2026"/>
        </groupItems>
      </fieldGroup>
    </cacheField>
    <cacheField name="Months (MMYYYY)" numFmtId="0" databaseField="0">
      <fieldGroup base="0">
        <rangePr groupBy="months" startDate="2026-01-26T00:00:00" endDate="2026-08-27T00:00:00"/>
        <groupItems count="14">
          <s v="&lt;2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2.627264467592" createdVersion="8" refreshedVersion="8" minRefreshableVersion="3" recordCount="24" xr:uid="{2A4795A9-9811-4D3C-994E-8E4D2672D8EF}">
  <cacheSource type="worksheet">
    <worksheetSource name="OD_TARGET"/>
  </cacheSource>
  <cacheFields count="5">
    <cacheField name="MMYYYY" numFmtId="17">
      <sharedItems containsSemiMixedTypes="0" containsNonDate="0" containsDate="1" containsString="0" minDate="2026-01-26T00:00:00" maxDate="2026-08-27T00:00:00" count="8">
        <d v="2026-01-26T00:00:00"/>
        <d v="2026-02-26T00:00:00"/>
        <d v="2026-03-26T00:00:00"/>
        <d v="2026-04-26T00:00:00"/>
        <d v="2026-05-26T00:00:00"/>
        <d v="2026-06-26T00:00:00"/>
        <d v="2026-07-26T00:00:00"/>
        <d v="2026-08-26T00:00:00"/>
      </sharedItems>
      <fieldGroup par="4"/>
    </cacheField>
    <cacheField name="Product" numFmtId="0">
      <sharedItems count="3">
        <s v="Product A"/>
        <s v="Product B"/>
        <s v="Product C"/>
      </sharedItems>
    </cacheField>
    <cacheField name="Value" numFmtId="3">
      <sharedItems containsSemiMixedTypes="0" containsString="0" containsNumber="1" containsInteger="1" minValue="1000000" maxValue="2000000"/>
    </cacheField>
    <cacheField name="Days (MMYYYY)" numFmtId="0" databaseField="0">
      <fieldGroup base="0">
        <rangePr groupBy="days" startDate="2026-01-26T00:00:00" endDate="2026-08-27T00:00:00"/>
        <groupItems count="368">
          <s v="&lt;2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/8/2026"/>
        </groupItems>
      </fieldGroup>
    </cacheField>
    <cacheField name="Months (MMYYYY)" numFmtId="0" databaseField="0">
      <fieldGroup base="0">
        <rangePr groupBy="months" startDate="2026-01-26T00:00:00" endDate="2026-08-27T00:00:00"/>
        <groupItems count="14">
          <s v="&lt;2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2.627265740739" createdVersion="8" refreshedVersion="8" minRefreshableVersion="3" recordCount="24" xr:uid="{4D34EC7A-BAF5-433F-87F8-0BC88E51AC73}">
  <cacheSource type="worksheet">
    <worksheetSource name="CHURN_TARGET"/>
  </cacheSource>
  <cacheFields count="5">
    <cacheField name="MMYYYY" numFmtId="17">
      <sharedItems containsSemiMixedTypes="0" containsNonDate="0" containsDate="1" containsString="0" minDate="2026-01-26T00:00:00" maxDate="2026-08-27T00:00:00" count="8">
        <d v="2026-01-26T00:00:00"/>
        <d v="2026-02-26T00:00:00"/>
        <d v="2026-03-26T00:00:00"/>
        <d v="2026-04-26T00:00:00"/>
        <d v="2026-05-26T00:00:00"/>
        <d v="2026-06-26T00:00:00"/>
        <d v="2026-07-26T00:00:00"/>
        <d v="2026-08-26T00:00:00"/>
      </sharedItems>
      <fieldGroup par="4"/>
    </cacheField>
    <cacheField name="Product" numFmtId="0">
      <sharedItems count="3">
        <s v="Product A"/>
        <s v="Product B"/>
        <s v="Product C"/>
      </sharedItems>
    </cacheField>
    <cacheField name="Value" numFmtId="3">
      <sharedItems containsSemiMixedTypes="0" containsString="0" containsNumber="1" containsInteger="1" minValue="100000" maxValue="280000"/>
    </cacheField>
    <cacheField name="Days (MMYYYY)" numFmtId="0" databaseField="0">
      <fieldGroup base="0">
        <rangePr groupBy="days" startDate="2026-01-26T00:00:00" endDate="2026-08-27T00:00:00"/>
        <groupItems count="368">
          <s v="&lt;2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/8/2026"/>
        </groupItems>
      </fieldGroup>
    </cacheField>
    <cacheField name="Months (MMYYYY)" numFmtId="0" databaseField="0">
      <fieldGroup base="0">
        <rangePr groupBy="months" startDate="2026-01-26T00:00:00" endDate="2026-08-27T00:00:00"/>
        <groupItems count="14">
          <s v="&lt;2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250000"/>
  </r>
  <r>
    <x v="0"/>
    <x v="1"/>
    <n v="980000"/>
  </r>
  <r>
    <x v="0"/>
    <x v="2"/>
    <n v="1450000"/>
  </r>
  <r>
    <x v="1"/>
    <x v="0"/>
    <n v="1320000"/>
  </r>
  <r>
    <x v="1"/>
    <x v="1"/>
    <n v="1080000"/>
  </r>
  <r>
    <x v="1"/>
    <x v="2"/>
    <n v="1580000"/>
  </r>
  <r>
    <x v="2"/>
    <x v="0"/>
    <n v="1410000"/>
  </r>
  <r>
    <x v="2"/>
    <x v="1"/>
    <n v="1160000"/>
  </r>
  <r>
    <x v="2"/>
    <x v="2"/>
    <n v="1720000"/>
  </r>
  <r>
    <x v="3"/>
    <x v="0"/>
    <n v="1500000"/>
  </r>
  <r>
    <x v="3"/>
    <x v="1"/>
    <n v="1210000"/>
  </r>
  <r>
    <x v="3"/>
    <x v="2"/>
    <n v="1810000"/>
  </r>
  <r>
    <x v="4"/>
    <x v="0"/>
    <n v="1430000"/>
  </r>
  <r>
    <x v="4"/>
    <x v="1"/>
    <n v="1170000"/>
  </r>
  <r>
    <x v="4"/>
    <x v="2"/>
    <n v="1690000"/>
  </r>
  <r>
    <x v="5"/>
    <x v="0"/>
    <n v="1600000"/>
  </r>
  <r>
    <x v="5"/>
    <x v="1"/>
    <n v="1280000"/>
  </r>
  <r>
    <x v="5"/>
    <x v="2"/>
    <n v="1910000"/>
  </r>
  <r>
    <x v="6"/>
    <x v="0"/>
    <n v="1540000"/>
  </r>
  <r>
    <x v="6"/>
    <x v="1"/>
    <n v="1240000"/>
  </r>
  <r>
    <x v="6"/>
    <x v="2"/>
    <n v="1840000"/>
  </r>
  <r>
    <x v="7"/>
    <x v="0"/>
    <n v="1680000"/>
  </r>
  <r>
    <x v="7"/>
    <x v="1"/>
    <n v="1350000"/>
  </r>
  <r>
    <x v="7"/>
    <x v="2"/>
    <n v="198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138000"/>
  </r>
  <r>
    <x v="0"/>
    <x v="1"/>
    <n v="911000"/>
  </r>
  <r>
    <x v="0"/>
    <x v="2"/>
    <n v="1305000"/>
  </r>
  <r>
    <x v="1"/>
    <x v="0"/>
    <n v="1214000"/>
  </r>
  <r>
    <x v="1"/>
    <x v="1"/>
    <n v="1015000"/>
  </r>
  <r>
    <x v="1"/>
    <x v="2"/>
    <n v="1438000"/>
  </r>
  <r>
    <x v="2"/>
    <x v="0"/>
    <n v="1311000"/>
  </r>
  <r>
    <x v="2"/>
    <x v="1"/>
    <n v="1067000"/>
  </r>
  <r>
    <x v="2"/>
    <x v="2"/>
    <n v="1617000"/>
  </r>
  <r>
    <x v="3"/>
    <x v="0"/>
    <n v="1425000"/>
  </r>
  <r>
    <x v="3"/>
    <x v="1"/>
    <n v="1125000"/>
  </r>
  <r>
    <x v="3"/>
    <x v="2"/>
    <n v="1665000"/>
  </r>
  <r>
    <x v="4"/>
    <x v="0"/>
    <n v="1316000"/>
  </r>
  <r>
    <x v="4"/>
    <x v="1"/>
    <n v="1112000"/>
  </r>
  <r>
    <x v="4"/>
    <x v="2"/>
    <n v="1572000"/>
  </r>
  <r>
    <x v="5"/>
    <x v="0"/>
    <n v="1504000"/>
  </r>
  <r>
    <x v="5"/>
    <x v="1"/>
    <n v="1178000"/>
  </r>
  <r>
    <x v="5"/>
    <x v="2"/>
    <n v="1814000"/>
  </r>
  <r>
    <x v="6"/>
    <x v="0"/>
    <n v="1432000"/>
  </r>
  <r>
    <x v="6"/>
    <x v="1"/>
    <n v="1166000"/>
  </r>
  <r>
    <x v="6"/>
    <x v="2"/>
    <n v="1693000"/>
  </r>
  <r>
    <x v="7"/>
    <x v="0"/>
    <n v="1596000"/>
  </r>
  <r>
    <x v="7"/>
    <x v="1"/>
    <n v="1256000"/>
  </r>
  <r>
    <x v="7"/>
    <x v="2"/>
    <n v="1861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04000"/>
  </r>
  <r>
    <x v="0"/>
    <x v="1"/>
    <n v="206000"/>
  </r>
  <r>
    <x v="0"/>
    <x v="2"/>
    <n v="116000"/>
  </r>
  <r>
    <x v="1"/>
    <x v="0"/>
    <n v="102000"/>
  </r>
  <r>
    <x v="1"/>
    <x v="1"/>
    <n v="210000"/>
  </r>
  <r>
    <x v="1"/>
    <x v="2"/>
    <n v="118000"/>
  </r>
  <r>
    <x v="2"/>
    <x v="0"/>
    <n v="128000"/>
  </r>
  <r>
    <x v="2"/>
    <x v="1"/>
    <n v="281000"/>
  </r>
  <r>
    <x v="2"/>
    <x v="2"/>
    <n v="195000"/>
  </r>
  <r>
    <x v="3"/>
    <x v="0"/>
    <n v="90000"/>
  </r>
  <r>
    <x v="3"/>
    <x v="1"/>
    <n v="179000"/>
  </r>
  <r>
    <x v="3"/>
    <x v="2"/>
    <n v="327000"/>
  </r>
  <r>
    <x v="4"/>
    <x v="0"/>
    <n v="114000"/>
  </r>
  <r>
    <x v="4"/>
    <x v="1"/>
    <n v="364000"/>
  </r>
  <r>
    <x v="4"/>
    <x v="2"/>
    <n v="410000"/>
  </r>
  <r>
    <x v="5"/>
    <x v="0"/>
    <n v="104000"/>
  </r>
  <r>
    <x v="5"/>
    <x v="1"/>
    <n v="196000"/>
  </r>
  <r>
    <x v="5"/>
    <x v="2"/>
    <n v="215000"/>
  </r>
  <r>
    <x v="6"/>
    <x v="0"/>
    <n v="108000"/>
  </r>
  <r>
    <x v="6"/>
    <x v="1"/>
    <n v="174000"/>
  </r>
  <r>
    <x v="6"/>
    <x v="2"/>
    <n v="138000"/>
  </r>
  <r>
    <x v="7"/>
    <x v="0"/>
    <n v="192000"/>
  </r>
  <r>
    <x v="7"/>
    <x v="1"/>
    <n v="195000"/>
  </r>
  <r>
    <x v="7"/>
    <x v="2"/>
    <n v="319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000000"/>
  </r>
  <r>
    <x v="0"/>
    <x v="1"/>
    <n v="950000"/>
  </r>
  <r>
    <x v="0"/>
    <x v="2"/>
    <n v="1400000"/>
  </r>
  <r>
    <x v="1"/>
    <x v="0"/>
    <n v="1620000"/>
  </r>
  <r>
    <x v="1"/>
    <x v="1"/>
    <n v="1400000"/>
  </r>
  <r>
    <x v="1"/>
    <x v="2"/>
    <n v="1700000"/>
  </r>
  <r>
    <x v="2"/>
    <x v="0"/>
    <n v="1510000"/>
  </r>
  <r>
    <x v="2"/>
    <x v="1"/>
    <n v="1350000"/>
  </r>
  <r>
    <x v="2"/>
    <x v="2"/>
    <n v="1900000"/>
  </r>
  <r>
    <x v="3"/>
    <x v="0"/>
    <n v="1800000"/>
  </r>
  <r>
    <x v="3"/>
    <x v="1"/>
    <n v="1700000"/>
  </r>
  <r>
    <x v="3"/>
    <x v="2"/>
    <n v="1800000"/>
  </r>
  <r>
    <x v="4"/>
    <x v="0"/>
    <n v="1600000"/>
  </r>
  <r>
    <x v="4"/>
    <x v="1"/>
    <n v="1300000"/>
  </r>
  <r>
    <x v="4"/>
    <x v="2"/>
    <n v="1800000"/>
  </r>
  <r>
    <x v="5"/>
    <x v="0"/>
    <n v="1600000"/>
  </r>
  <r>
    <x v="5"/>
    <x v="1"/>
    <n v="1500000"/>
  </r>
  <r>
    <x v="5"/>
    <x v="2"/>
    <n v="2000000"/>
  </r>
  <r>
    <x v="6"/>
    <x v="0"/>
    <n v="1800000"/>
  </r>
  <r>
    <x v="6"/>
    <x v="1"/>
    <n v="1400000"/>
  </r>
  <r>
    <x v="6"/>
    <x v="2"/>
    <n v="2000000"/>
  </r>
  <r>
    <x v="7"/>
    <x v="0"/>
    <n v="1600000"/>
  </r>
  <r>
    <x v="7"/>
    <x v="1"/>
    <n v="1300000"/>
  </r>
  <r>
    <x v="7"/>
    <x v="2"/>
    <n v="2000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200000"/>
  </r>
  <r>
    <x v="0"/>
    <x v="1"/>
    <n v="1000000"/>
  </r>
  <r>
    <x v="0"/>
    <x v="2"/>
    <n v="1300000"/>
  </r>
  <r>
    <x v="1"/>
    <x v="0"/>
    <n v="1300000"/>
  </r>
  <r>
    <x v="1"/>
    <x v="1"/>
    <n v="1200000"/>
  </r>
  <r>
    <x v="1"/>
    <x v="2"/>
    <n v="1400000"/>
  </r>
  <r>
    <x v="2"/>
    <x v="0"/>
    <n v="1300000"/>
  </r>
  <r>
    <x v="2"/>
    <x v="1"/>
    <n v="1100000"/>
  </r>
  <r>
    <x v="2"/>
    <x v="2"/>
    <n v="1600000"/>
  </r>
  <r>
    <x v="3"/>
    <x v="0"/>
    <n v="1500000"/>
  </r>
  <r>
    <x v="3"/>
    <x v="1"/>
    <n v="1200000"/>
  </r>
  <r>
    <x v="3"/>
    <x v="2"/>
    <n v="1600000"/>
  </r>
  <r>
    <x v="4"/>
    <x v="0"/>
    <n v="1300000"/>
  </r>
  <r>
    <x v="4"/>
    <x v="1"/>
    <n v="1200000"/>
  </r>
  <r>
    <x v="4"/>
    <x v="2"/>
    <n v="1500000"/>
  </r>
  <r>
    <x v="5"/>
    <x v="0"/>
    <n v="1600000"/>
  </r>
  <r>
    <x v="5"/>
    <x v="1"/>
    <n v="1200000"/>
  </r>
  <r>
    <x v="5"/>
    <x v="2"/>
    <n v="2000000"/>
  </r>
  <r>
    <x v="6"/>
    <x v="0"/>
    <n v="1800000"/>
  </r>
  <r>
    <x v="6"/>
    <x v="1"/>
    <n v="1200000"/>
  </r>
  <r>
    <x v="6"/>
    <x v="2"/>
    <n v="1800000"/>
  </r>
  <r>
    <x v="7"/>
    <x v="0"/>
    <n v="1600000"/>
  </r>
  <r>
    <x v="7"/>
    <x v="1"/>
    <n v="1200000"/>
  </r>
  <r>
    <x v="7"/>
    <x v="2"/>
    <n v="1800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00000"/>
  </r>
  <r>
    <x v="0"/>
    <x v="1"/>
    <n v="200000"/>
  </r>
  <r>
    <x v="0"/>
    <x v="2"/>
    <n v="100000"/>
  </r>
  <r>
    <x v="1"/>
    <x v="0"/>
    <n v="100000"/>
  </r>
  <r>
    <x v="1"/>
    <x v="1"/>
    <n v="200000"/>
  </r>
  <r>
    <x v="1"/>
    <x v="2"/>
    <n v="100000"/>
  </r>
  <r>
    <x v="2"/>
    <x v="0"/>
    <n v="120000"/>
  </r>
  <r>
    <x v="2"/>
    <x v="1"/>
    <n v="280000"/>
  </r>
  <r>
    <x v="2"/>
    <x v="2"/>
    <n v="200000"/>
  </r>
  <r>
    <x v="3"/>
    <x v="0"/>
    <n v="100000"/>
  </r>
  <r>
    <x v="3"/>
    <x v="1"/>
    <n v="180000"/>
  </r>
  <r>
    <x v="3"/>
    <x v="2"/>
    <n v="200000"/>
  </r>
  <r>
    <x v="4"/>
    <x v="0"/>
    <n v="150000"/>
  </r>
  <r>
    <x v="4"/>
    <x v="1"/>
    <n v="200000"/>
  </r>
  <r>
    <x v="4"/>
    <x v="2"/>
    <n v="200000"/>
  </r>
  <r>
    <x v="5"/>
    <x v="0"/>
    <n v="150000"/>
  </r>
  <r>
    <x v="5"/>
    <x v="1"/>
    <n v="150000"/>
  </r>
  <r>
    <x v="5"/>
    <x v="2"/>
    <n v="200000"/>
  </r>
  <r>
    <x v="6"/>
    <x v="0"/>
    <n v="150000"/>
  </r>
  <r>
    <x v="6"/>
    <x v="1"/>
    <n v="200000"/>
  </r>
  <r>
    <x v="6"/>
    <x v="2"/>
    <n v="150000"/>
  </r>
  <r>
    <x v="7"/>
    <x v="0"/>
    <n v="200000"/>
  </r>
  <r>
    <x v="7"/>
    <x v="1"/>
    <n v="200000"/>
  </r>
  <r>
    <x v="7"/>
    <x v="2"/>
    <n v="2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43B98-663A-42AC-8C68-69DC5AD0EEDF}" name="OA_ALL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All Product">
  <location ref="E24:N26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D50A5-8B70-41C8-91BB-B2FD4C03810A}" name="OA_PC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C">
  <location ref="E17:N19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2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1A7AC-FF56-453B-8AC1-3742AF201EA5}" name="OA_PB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B">
  <location ref="E10:N12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EA624-BC88-4C9D-A645-E3CDB8127265}" name="OA_PA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A">
  <location ref="E3:N5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0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7CEB6-3F5C-4FE0-B0FC-4A854360E59B}" name="OA_PA" cacheId="4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A">
  <location ref="E3:N5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0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7E200-B4FF-4090-AD2E-0C396E51963C}" name="OA_PB" cacheId="4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B">
  <location ref="E10:N12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769C6-BCCC-44B0-8813-109F6DE28623}" name="OA_PC" cacheId="4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C">
  <location ref="E17:N19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2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69F54-33E4-4207-9701-EADB90D721BA}" name="OA_ALL" cacheId="4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All Product">
  <location ref="E24:N26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D21DA-8790-449E-83A9-4CDDDC96544C}" name="PivotTable8" cacheId="4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4:N26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099FD-9281-4B25-9FCE-624F508975A8}" name="PivotTable7" cacheId="4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N19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2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0ED08-385E-4672-873A-0E1FAE4536C7}" name="PivotTable6" cacheId="4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N12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D8423-49D3-471F-8AA5-427079AD3892}" name="PivotTable5" cacheId="4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N5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0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6FEAD-2F3C-4F59-9767-93ED8E4C3361}" name="PivotTable5" cacheId="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N5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0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D3A04-E16F-4909-924E-1D6C681090C1}" name="PivotTable6" cacheId="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N12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A8BAB-58E9-4B99-A14D-7DA0E11BEE70}" name="PivotTable7" cacheId="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N19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2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136D7-DDDC-4CED-A380-A4C0B37AA353}" name="PivotTable8" cacheId="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4:N26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06D11-C5DF-46A7-93BE-019A8FF4E668}" name="PivotTable12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C">
  <location ref="E24:N26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7D9B2-EAA6-4B97-89C1-453C2D5E986E}" name="PivotTable11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B">
  <location ref="E17:N19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2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A8109-1F76-44C1-A906-7E4FDE8F6EE8}" name="PivotTable10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A">
  <location ref="E10:N12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1" hier="-1"/>
  </pageFields>
  <dataFields count="1">
    <dataField name="Total" fld="2" baseField="0" baseItem="0" numFmtId="3"/>
  </dataFields>
  <formats count="1">
    <format dxfId="50">
      <pivotArea dataOnly="0" labelOnly="1" fieldPosition="0">
        <references count="1">
          <reference field="4" count="8"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752CB-6302-46A6-9D66-F96780FE63AF}" name="PivotTable9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All Product">
  <location ref="E3:N5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0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4100E-5501-4720-AC4C-C1EAEE3A50B5}" name="PivotTable9" cacheId="4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All Product">
  <location ref="E3:N5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0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13AEB-FA88-4850-B59E-69DBE59BF1C6}" name="PivotTable10" cacheId="4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A">
  <location ref="E10:N12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1" hier="-1"/>
  </pageFields>
  <dataFields count="1">
    <dataField name="Total" fld="2" baseField="0" baseItem="0" numFmtId="3"/>
  </dataFields>
  <formats count="1">
    <format dxfId="37">
      <pivotArea dataOnly="0" labelOnly="1" fieldPosition="0">
        <references count="1">
          <reference field="4" count="8"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D4C8D-183D-489F-A5D6-8DCFDDFF9128}" name="PivotTable11" cacheId="4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B">
  <location ref="E17:N19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2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BA224-7ACC-4431-A419-6658C5519A2B}" name="PivotTable12" cacheId="4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 C">
  <location ref="E24:N26" firstHeaderRow="1" firstDataRow="2" firstDataCol="1" rowPageCount="1" colPageCount="1"/>
  <pivotFields count="5">
    <pivotField numFmtId="1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1">
    <dataField name="Total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8A478-C6DB-42FE-95D6-840080AB8485}" name="Table1" displayName="Table1" ref="A1:C25" totalsRowShown="0" headerRowDxfId="60" headerRowBorderDxfId="62" tableBorderDxfId="63">
  <autoFilter ref="A1:C25" xr:uid="{00000000-0009-0000-0000-000000000000}"/>
  <tableColumns count="3">
    <tableColumn id="1" xr3:uid="{717D8AFE-E0ED-4AA3-8711-30C8BEC63388}" name="MMYYYY" dataDxfId="49"/>
    <tableColumn id="2" xr3:uid="{2A551FAC-7BB4-45C9-96B4-87804066BD17}" name="Product"/>
    <tableColumn id="3" xr3:uid="{CF9BAE8D-BC20-4BB4-A711-0E6C581D0D89}" name="Value" dataDxfId="6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4AF549-840F-423E-A445-089E82708806}" name="Table15" displayName="Table15" ref="A1:C25" totalsRowShown="0" headerRowDxfId="47" headerRowBorderDxfId="45" tableBorderDxfId="46">
  <autoFilter ref="A1:C25" xr:uid="{00000000-0009-0000-0000-000000000000}"/>
  <tableColumns count="3">
    <tableColumn id="1" xr3:uid="{035A7F09-EBAA-4D33-A8FD-439E75945C17}" name="MMYYYY" dataDxfId="44"/>
    <tableColumn id="2" xr3:uid="{749AC083-3889-4085-8C29-4B72A970E4BC}" name="Product"/>
    <tableColumn id="3" xr3:uid="{43216328-2272-4EA4-BF98-95BC0E7ABB28}" name="Value" dataDxfId="4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9916E-05AF-4D12-AAC1-FAA3E2116C19}" name="Table2" displayName="Table2" ref="A1:C25" totalsRowShown="0" headerRowDxfId="56" headerRowBorderDxfId="58" tableBorderDxfId="59">
  <autoFilter ref="A1:C25" xr:uid="{00000000-0009-0000-0000-000000000000}"/>
  <tableColumns count="3">
    <tableColumn id="1" xr3:uid="{33C1D3DD-4BAF-4009-ADBD-C7572CC4677C}" name="MMYYYY" dataDxfId="48"/>
    <tableColumn id="2" xr3:uid="{E827693D-1BBB-4127-9923-8FE378122620}" name="Product"/>
    <tableColumn id="3" xr3:uid="{FF44F988-06C0-497E-8BEA-DECC26911C45}" name="Value" dataDxfId="5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91D4EA-3C6B-4873-9905-6332D250A7B6}" name="OD_TARGET" displayName="OD_TARGET" ref="A1:C25" totalsRowShown="0" headerRowDxfId="42" headerRowBorderDxfId="40" tableBorderDxfId="41">
  <autoFilter ref="A1:C25" xr:uid="{00000000-0009-0000-0000-000000000000}"/>
  <tableColumns count="3">
    <tableColumn id="1" xr3:uid="{6D28E676-7060-4DD5-995C-46625B770F42}" name="MMYYYY" dataDxfId="39"/>
    <tableColumn id="2" xr3:uid="{9A7EACBA-5C92-4B6D-97CF-96878BDB79DF}" name="Product"/>
    <tableColumn id="3" xr3:uid="{C187905B-4F20-4D52-9E52-A398FE2550C7}" name="Value" dataDxfId="3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F321C8-52FA-42BA-88EA-B6037E7A9CDE}" name="Table3" displayName="Table3" ref="A1:C25" totalsRowShown="0" headerRowDxfId="52" headerRowBorderDxfId="54" tableBorderDxfId="55">
  <autoFilter ref="A1:C25" xr:uid="{00000000-0009-0000-0000-000000000000}"/>
  <tableColumns count="3">
    <tableColumn id="1" xr3:uid="{F920568D-527E-4CF7-A574-6264EDA5CCBB}" name="MMYYYY" dataDxfId="51"/>
    <tableColumn id="2" xr3:uid="{A36B2DD8-A02F-4846-9A06-C3080578477D}" name="Product"/>
    <tableColumn id="3" xr3:uid="{AD91CA7B-2CD6-401F-A022-94841DA25DE7}" name="Value" dataDxfId="5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AA63BB-62CA-4BE1-8239-3C6B7E3103A4}" name="CHURN_TARGET" displayName="CHURN_TARGET" ref="A1:C25" totalsRowShown="0" headerRowDxfId="36" headerRowBorderDxfId="34" tableBorderDxfId="35">
  <autoFilter ref="A1:C25" xr:uid="{00000000-0009-0000-0000-000000000000}"/>
  <tableColumns count="3">
    <tableColumn id="1" xr3:uid="{660C701F-825A-4AE2-A435-F209655D34D6}" name="MMYYYY" dataDxfId="33"/>
    <tableColumn id="2" xr3:uid="{3EA51246-7261-439C-9C83-EE774668F783}" name="Product"/>
    <tableColumn id="3" xr3:uid="{88C92D90-3619-4EAE-BAC4-4CE4F1D7580F}" name="Value" dataDxfId="3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DE0135-74FB-48A5-A772-FAB3DCEB4CF5}" name="Table7" displayName="Table7" ref="A3:C6" totalsRowShown="0">
  <autoFilter ref="A3:C6" xr:uid="{A7DE0135-74FB-48A5-A772-FAB3DCEB4CF5}"/>
  <tableColumns count="3">
    <tableColumn id="1" xr3:uid="{23D9B782-A14C-4796-9F3E-7F2079DF45A5}" name="Type"/>
    <tableColumn id="2" xr3:uid="{648DA76D-9BB5-44BA-B4A3-D9823973AA3C}" name="Value" dataDxfId="31" dataCellStyle="Comma"/>
    <tableColumn id="3" xr3:uid="{BA471566-D4BF-4EB2-957A-D17D90282B6B}" name="Target" dataDxfId="30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2BC650-05F6-4968-9619-20134B1A07CF}" name="Table8" displayName="Table8" ref="A11:C23" totalsRowShown="0">
  <autoFilter ref="A11:C23" xr:uid="{052BC650-05F6-4968-9619-20134B1A07CF}"/>
  <tableColumns count="3">
    <tableColumn id="1" xr3:uid="{A80DC341-B317-4A1A-9BFD-51E40F74721D}" name="Month"/>
    <tableColumn id="2" xr3:uid="{E1B3ADF0-F959-411E-B34A-A3AE0FBB3663}" name="Value" dataDxfId="29">
      <calculatedColumnFormula>INDEX(Details!$C$6:$N$6,MATCH($A12,Details!$C$5:$N$5,0))</calculatedColumnFormula>
    </tableColumn>
    <tableColumn id="3" xr3:uid="{9358C5F1-396B-4EA3-BF46-D78E260637D4}" name="Target" dataDxfId="28">
      <calculatedColumnFormula>INDEX(Details!$O$6:$Z$6,MATCH($A12,Details!$O$5:$Z$5,0))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797639-7F84-4859-8142-893485BDA53D}" name="Table810" displayName="Table810" ref="F11:H23" totalsRowShown="0">
  <autoFilter ref="F11:H23" xr:uid="{28797639-7F84-4859-8142-893485BDA53D}"/>
  <tableColumns count="3">
    <tableColumn id="1" xr3:uid="{AE23C679-76B9-408B-BE3D-192A40120B4F}" name="Month"/>
    <tableColumn id="2" xr3:uid="{C092F0C5-1839-4EA2-AFAA-D39521B02649}" name="Value" dataDxfId="27">
      <calculatedColumnFormula>INDEX(Details!$C$6:$N$6,MATCH($A12,Details!$C$5:$N$5,0))</calculatedColumnFormula>
    </tableColumn>
    <tableColumn id="3" xr3:uid="{452FF63B-053E-46E5-8081-F87DDF94EDC4}" name="Target" dataDxfId="26">
      <calculatedColumnFormula>INDEX(Details!$O$6:$Z$6,MATCH($A12,Details!$O$5:$Z$5,0))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750271-06C6-4D83-A234-AB7BDEBEDA8A}" name="Table81011" displayName="Table81011" ref="K11:M23" totalsRowShown="0">
  <autoFilter ref="K11:M23" xr:uid="{D9750271-06C6-4D83-A234-AB7BDEBEDA8A}"/>
  <tableColumns count="3">
    <tableColumn id="1" xr3:uid="{B970DB92-6FDD-4827-A2FA-563A18EE0CAE}" name="Month"/>
    <tableColumn id="2" xr3:uid="{C1100F73-7D79-415B-9509-462F3B4732EC}" name="Value" dataDxfId="25">
      <calculatedColumnFormula>INDEX(Details!$C$6:$N$6,MATCH($A12,Details!$C$5:$N$5,0))</calculatedColumnFormula>
    </tableColumn>
    <tableColumn id="3" xr3:uid="{8ED5F4C4-B5A8-4C93-B33A-3789AC672234}" name="Target" dataDxfId="24">
      <calculatedColumnFormula>INDEX(Details!$O$6:$Z$6,MATCH($A12,Details!$O$5:$Z$5,0))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13C5C55-1B60-4F05-9B6F-0B3AC60AD30B}" name="Table815" displayName="Table815" ref="A28:C40" totalsRowShown="0">
  <autoFilter ref="A28:C40" xr:uid="{013C5C55-1B60-4F05-9B6F-0B3AC60AD30B}"/>
  <tableColumns count="3">
    <tableColumn id="1" xr3:uid="{8D0E8E3E-636B-4708-B3F9-60934BACD494}" name="Month"/>
    <tableColumn id="2" xr3:uid="{DFB3D8F3-6383-47FC-AE7A-E125B1998D94}" name="Value" dataDxfId="23">
      <calculatedColumnFormula>INDEX(Details!$C$6:$N$6,MATCH($A29,Details!$C$5:$N$5,0))</calculatedColumnFormula>
    </tableColumn>
    <tableColumn id="3" xr3:uid="{DBC68C33-B8ED-4A08-A502-5A50126DA771}" name="Target" dataDxfId="22">
      <calculatedColumnFormula>INDEX(Details!$O$6:$Z$6,MATCH($A29,Details!$O$5:$Z$5,0))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54116D-104F-469E-8C30-C895A8AB83EB}" name="Table81016" displayName="Table81016" ref="F28:H40" totalsRowShown="0">
  <autoFilter ref="F28:H40" xr:uid="{8754116D-104F-469E-8C30-C895A8AB83EB}"/>
  <tableColumns count="3">
    <tableColumn id="1" xr3:uid="{1D33CFAF-FF86-4E28-8819-26B8703CFDEC}" name="Month"/>
    <tableColumn id="2" xr3:uid="{C081AEC9-097A-46D3-9A34-E5542CE084EC}" name="Value" dataDxfId="21">
      <calculatedColumnFormula>INDEX(Details!$C$6:$N$6,MATCH($A29,Details!$C$5:$N$5,0))</calculatedColumnFormula>
    </tableColumn>
    <tableColumn id="3" xr3:uid="{D0D27D89-1F52-4470-9DA4-399FD00F2DD4}" name="Target" dataDxfId="20">
      <calculatedColumnFormula>INDEX(Details!$O$6:$Z$6,MATCH($A29,Details!$O$5:$Z$5,0))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1165B35-A1F0-4AFB-A269-2B91DD04B871}" name="Table8101117" displayName="Table8101117" ref="K28:M40" totalsRowShown="0">
  <autoFilter ref="K28:M40" xr:uid="{81165B35-A1F0-4AFB-A269-2B91DD04B871}"/>
  <tableColumns count="3">
    <tableColumn id="1" xr3:uid="{0505374B-E899-4C63-A4BD-556D8B34D71E}" name="Month"/>
    <tableColumn id="2" xr3:uid="{3685B37B-99DF-47A9-8CFD-DD516131235D}" name="Value" dataDxfId="19">
      <calculatedColumnFormula>INDEX(Details!$C$6:$N$6,MATCH($A29,Details!$C$5:$N$5,0))</calculatedColumnFormula>
    </tableColumn>
    <tableColumn id="3" xr3:uid="{4FB4D989-B682-4F93-ADF6-A06B9B35B179}" name="Target" dataDxfId="18">
      <calculatedColumnFormula>INDEX(Details!$O$6:$Z$6,MATCH($A29,Details!$O$5:$Z$5,0))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66CB1CD-CD19-479D-8D3D-68BAF4D47FB9}" name="Table81518" displayName="Table81518" ref="A45:C57" totalsRowShown="0">
  <autoFilter ref="A45:C57" xr:uid="{A66CB1CD-CD19-479D-8D3D-68BAF4D47FB9}"/>
  <tableColumns count="3">
    <tableColumn id="1" xr3:uid="{F281E857-A1B7-4C9C-B9D8-A0E8AEA0C0A0}" name="Month"/>
    <tableColumn id="2" xr3:uid="{FE89F076-7E10-4678-92E8-4257FBC6A65F}" name="Value" dataDxfId="17">
      <calculatedColumnFormula>INDEX(Details!$C$6:$N$6,MATCH($A46,Details!$C$5:$N$5,0))</calculatedColumnFormula>
    </tableColumn>
    <tableColumn id="3" xr3:uid="{67AA9884-9C13-42BD-9D44-4A916300569A}" name="Target" dataDxfId="16">
      <calculatedColumnFormula>INDEX(Details!$O$6:$Z$6,MATCH($A46,Details!$O$5:$Z$5,0))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86607A-9AE8-43C6-9AF7-0CAC0F8C6092}" name="Table8101619" displayName="Table8101619" ref="F45:H57" totalsRowShown="0">
  <autoFilter ref="F45:H57" xr:uid="{A486607A-9AE8-43C6-9AF7-0CAC0F8C6092}"/>
  <tableColumns count="3">
    <tableColumn id="1" xr3:uid="{750FBCFD-944D-418B-8CB4-C8F7E96EFE42}" name="Month"/>
    <tableColumn id="2" xr3:uid="{CC68C74B-342A-4EEA-97F6-17112CB77EB9}" name="Value" dataDxfId="15">
      <calculatedColumnFormula>INDEX(Details!$C$6:$N$6,MATCH($A46,Details!$C$5:$N$5,0))</calculatedColumnFormula>
    </tableColumn>
    <tableColumn id="3" xr3:uid="{310FCFA2-3518-4935-A8B2-00FD433CF01E}" name="Target" dataDxfId="14">
      <calculatedColumnFormula>INDEX(Details!$O$6:$Z$6,MATCH($A46,Details!$O$5:$Z$5,0))</calculatedColumnFormula>
    </tableColumn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4B8F38C-035C-4E37-96A2-56EC50891714}" name="Table810111720" displayName="Table810111720" ref="K45:M57" totalsRowShown="0">
  <autoFilter ref="K45:M57" xr:uid="{14B8F38C-035C-4E37-96A2-56EC50891714}"/>
  <tableColumns count="3">
    <tableColumn id="1" xr3:uid="{4D6D6C5F-3939-4B9F-8442-A8A10802E826}" name="Month"/>
    <tableColumn id="2" xr3:uid="{5BEF8204-4C30-4BB9-B5D8-8B6841E07C9D}" name="Value" dataDxfId="13">
      <calculatedColumnFormula>INDEX(Details!$C$6:$N$6,MATCH($A46,Details!$C$5:$N$5,0))</calculatedColumnFormula>
    </tableColumn>
    <tableColumn id="3" xr3:uid="{43E6CC8F-864B-47E5-AD2D-2BF5CDE24927}" name="Target" dataDxfId="12">
      <calculatedColumnFormula>INDEX(Details!$O$6:$Z$6,MATCH($A46,Details!$O$5:$Z$5,0))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table" Target="../tables/table3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table" Target="../tables/table4.xml"/><Relationship Id="rId4" Type="http://schemas.openxmlformats.org/officeDocument/2006/relationships/pivotTable" Target="../pivotTables/pivot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5" Type="http://schemas.openxmlformats.org/officeDocument/2006/relationships/table" Target="../tables/table5.xml"/><Relationship Id="rId4" Type="http://schemas.openxmlformats.org/officeDocument/2006/relationships/pivotTable" Target="../pivotTables/pivotTable2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5" Type="http://schemas.openxmlformats.org/officeDocument/2006/relationships/table" Target="../tables/table6.xml"/><Relationship Id="rId4" Type="http://schemas.openxmlformats.org/officeDocument/2006/relationships/pivotTable" Target="../pivotTables/pivotTable2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showGridLines="0" workbookViewId="0">
      <pane ySplit="1" topLeftCell="A8" activePane="bottomLeft" state="frozen"/>
      <selection pane="bottomLeft" activeCell="A2" sqref="A2:A25"/>
    </sheetView>
  </sheetViews>
  <sheetFormatPr defaultRowHeight="14.5" x14ac:dyDescent="0.35"/>
  <cols>
    <col min="1" max="1" width="12" customWidth="1"/>
    <col min="2" max="3" width="15" customWidth="1"/>
    <col min="5" max="5" width="7.26953125" bestFit="1" customWidth="1"/>
    <col min="6" max="6" width="11.36328125" bestFit="1" customWidth="1"/>
    <col min="7" max="13" width="8.90625" bestFit="1" customWidth="1"/>
    <col min="14" max="14" width="10.7265625" bestFit="1" customWidth="1"/>
  </cols>
  <sheetData>
    <row r="1" spans="1:14" x14ac:dyDescent="0.35">
      <c r="A1" s="5" t="s">
        <v>0</v>
      </c>
      <c r="B1" s="5" t="s">
        <v>1</v>
      </c>
      <c r="C1" s="5" t="s">
        <v>2</v>
      </c>
      <c r="E1" s="4" t="s">
        <v>1</v>
      </c>
      <c r="F1" t="s">
        <v>3</v>
      </c>
    </row>
    <row r="2" spans="1:14" x14ac:dyDescent="0.35">
      <c r="A2" s="3">
        <v>46048</v>
      </c>
      <c r="B2" t="s">
        <v>3</v>
      </c>
      <c r="C2" s="1">
        <v>1250000</v>
      </c>
    </row>
    <row r="3" spans="1:14" x14ac:dyDescent="0.35">
      <c r="A3" s="3">
        <v>46048</v>
      </c>
      <c r="B3" t="s">
        <v>4</v>
      </c>
      <c r="C3" s="1">
        <v>980000</v>
      </c>
      <c r="F3" s="4" t="s">
        <v>3</v>
      </c>
    </row>
    <row r="4" spans="1:14" x14ac:dyDescent="0.35">
      <c r="A4" s="3">
        <v>46048</v>
      </c>
      <c r="B4" t="s">
        <v>5</v>
      </c>
      <c r="C4" s="1">
        <v>1450000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7</v>
      </c>
    </row>
    <row r="5" spans="1:14" x14ac:dyDescent="0.35">
      <c r="A5" s="3">
        <v>46079</v>
      </c>
      <c r="B5" t="s">
        <v>3</v>
      </c>
      <c r="C5" s="1">
        <v>1320000</v>
      </c>
      <c r="E5" t="s">
        <v>17</v>
      </c>
      <c r="F5" s="1">
        <v>1250000</v>
      </c>
      <c r="G5" s="1">
        <v>1320000</v>
      </c>
      <c r="H5" s="1">
        <v>1410000</v>
      </c>
      <c r="I5" s="1">
        <v>1500000</v>
      </c>
      <c r="J5" s="1">
        <v>1430000</v>
      </c>
      <c r="K5" s="1">
        <v>1600000</v>
      </c>
      <c r="L5" s="1">
        <v>1540000</v>
      </c>
      <c r="M5" s="1">
        <v>1680000</v>
      </c>
      <c r="N5" s="1">
        <v>11730000</v>
      </c>
    </row>
    <row r="6" spans="1:14" x14ac:dyDescent="0.35">
      <c r="A6" s="3">
        <v>46079</v>
      </c>
      <c r="B6" t="s">
        <v>4</v>
      </c>
      <c r="C6" s="1">
        <v>1080000</v>
      </c>
    </row>
    <row r="7" spans="1:14" x14ac:dyDescent="0.35">
      <c r="A7" s="3">
        <v>46079</v>
      </c>
      <c r="B7" t="s">
        <v>5</v>
      </c>
      <c r="C7" s="1">
        <v>1580000</v>
      </c>
    </row>
    <row r="8" spans="1:14" x14ac:dyDescent="0.35">
      <c r="A8" s="3">
        <v>46107</v>
      </c>
      <c r="B8" t="s">
        <v>3</v>
      </c>
      <c r="C8" s="1">
        <v>1410000</v>
      </c>
      <c r="E8" s="4" t="s">
        <v>1</v>
      </c>
      <c r="F8" t="s">
        <v>4</v>
      </c>
    </row>
    <row r="9" spans="1:14" x14ac:dyDescent="0.35">
      <c r="A9" s="3">
        <v>46107</v>
      </c>
      <c r="B9" t="s">
        <v>4</v>
      </c>
      <c r="C9" s="1">
        <v>1160000</v>
      </c>
    </row>
    <row r="10" spans="1:14" x14ac:dyDescent="0.35">
      <c r="A10" s="3">
        <v>46107</v>
      </c>
      <c r="B10" t="s">
        <v>5</v>
      </c>
      <c r="C10" s="1">
        <v>1720000</v>
      </c>
      <c r="F10" s="4" t="s">
        <v>4</v>
      </c>
    </row>
    <row r="11" spans="1:14" x14ac:dyDescent="0.35">
      <c r="A11" s="3">
        <v>46138</v>
      </c>
      <c r="B11" t="s">
        <v>3</v>
      </c>
      <c r="C11" s="1">
        <v>1500000</v>
      </c>
      <c r="F11" t="s">
        <v>8</v>
      </c>
      <c r="G11" t="s">
        <v>9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  <c r="M11" t="s">
        <v>15</v>
      </c>
      <c r="N11" t="s">
        <v>7</v>
      </c>
    </row>
    <row r="12" spans="1:14" x14ac:dyDescent="0.35">
      <c r="A12" s="3">
        <v>46138</v>
      </c>
      <c r="B12" t="s">
        <v>4</v>
      </c>
      <c r="C12" s="1">
        <v>1210000</v>
      </c>
      <c r="E12" t="s">
        <v>17</v>
      </c>
      <c r="F12" s="1">
        <v>980000</v>
      </c>
      <c r="G12" s="1">
        <v>1080000</v>
      </c>
      <c r="H12" s="1">
        <v>1160000</v>
      </c>
      <c r="I12" s="1">
        <v>1210000</v>
      </c>
      <c r="J12" s="1">
        <v>1170000</v>
      </c>
      <c r="K12" s="1">
        <v>1280000</v>
      </c>
      <c r="L12" s="1">
        <v>1240000</v>
      </c>
      <c r="M12" s="1">
        <v>1350000</v>
      </c>
      <c r="N12" s="1">
        <v>9470000</v>
      </c>
    </row>
    <row r="13" spans="1:14" x14ac:dyDescent="0.35">
      <c r="A13" s="3">
        <v>46138</v>
      </c>
      <c r="B13" t="s">
        <v>5</v>
      </c>
      <c r="C13" s="1">
        <v>1810000</v>
      </c>
    </row>
    <row r="14" spans="1:14" x14ac:dyDescent="0.35">
      <c r="A14" s="3">
        <v>46168</v>
      </c>
      <c r="B14" t="s">
        <v>3</v>
      </c>
      <c r="C14" s="1">
        <v>1430000</v>
      </c>
    </row>
    <row r="15" spans="1:14" x14ac:dyDescent="0.35">
      <c r="A15" s="3">
        <v>46168</v>
      </c>
      <c r="B15" t="s">
        <v>4</v>
      </c>
      <c r="C15" s="1">
        <v>1170000</v>
      </c>
      <c r="E15" s="4" t="s">
        <v>1</v>
      </c>
      <c r="F15" t="s">
        <v>5</v>
      </c>
    </row>
    <row r="16" spans="1:14" x14ac:dyDescent="0.35">
      <c r="A16" s="3">
        <v>46168</v>
      </c>
      <c r="B16" t="s">
        <v>5</v>
      </c>
      <c r="C16" s="1">
        <v>1690000</v>
      </c>
    </row>
    <row r="17" spans="1:14" x14ac:dyDescent="0.35">
      <c r="A17" s="3">
        <v>46199</v>
      </c>
      <c r="B17" t="s">
        <v>3</v>
      </c>
      <c r="C17" s="1">
        <v>1600000</v>
      </c>
      <c r="F17" s="4" t="s">
        <v>5</v>
      </c>
    </row>
    <row r="18" spans="1:14" x14ac:dyDescent="0.35">
      <c r="A18" s="3">
        <v>46199</v>
      </c>
      <c r="B18" t="s">
        <v>4</v>
      </c>
      <c r="C18" s="1">
        <v>1280000</v>
      </c>
      <c r="F18" t="s">
        <v>8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7</v>
      </c>
    </row>
    <row r="19" spans="1:14" x14ac:dyDescent="0.35">
      <c r="A19" s="3">
        <v>46199</v>
      </c>
      <c r="B19" t="s">
        <v>5</v>
      </c>
      <c r="C19" s="1">
        <v>1910000</v>
      </c>
      <c r="E19" t="s">
        <v>17</v>
      </c>
      <c r="F19" s="1">
        <v>1450000</v>
      </c>
      <c r="G19" s="1">
        <v>1580000</v>
      </c>
      <c r="H19" s="1">
        <v>1720000</v>
      </c>
      <c r="I19" s="1">
        <v>1810000</v>
      </c>
      <c r="J19" s="1">
        <v>1690000</v>
      </c>
      <c r="K19" s="1">
        <v>1910000</v>
      </c>
      <c r="L19" s="1">
        <v>1840000</v>
      </c>
      <c r="M19" s="1">
        <v>1980000</v>
      </c>
      <c r="N19" s="1">
        <v>13980000</v>
      </c>
    </row>
    <row r="20" spans="1:14" x14ac:dyDescent="0.35">
      <c r="A20" s="3">
        <v>46229</v>
      </c>
      <c r="B20" t="s">
        <v>3</v>
      </c>
      <c r="C20" s="1">
        <v>1540000</v>
      </c>
    </row>
    <row r="21" spans="1:14" x14ac:dyDescent="0.35">
      <c r="A21" s="3">
        <v>46229</v>
      </c>
      <c r="B21" t="s">
        <v>4</v>
      </c>
      <c r="C21" s="1">
        <v>1240000</v>
      </c>
    </row>
    <row r="22" spans="1:14" x14ac:dyDescent="0.35">
      <c r="A22" s="3">
        <v>46229</v>
      </c>
      <c r="B22" t="s">
        <v>5</v>
      </c>
      <c r="C22" s="1">
        <v>1840000</v>
      </c>
      <c r="E22" s="4" t="s">
        <v>1</v>
      </c>
      <c r="F22" t="s">
        <v>16</v>
      </c>
    </row>
    <row r="23" spans="1:14" x14ac:dyDescent="0.35">
      <c r="A23" s="3">
        <v>46260</v>
      </c>
      <c r="B23" t="s">
        <v>3</v>
      </c>
      <c r="C23" s="1">
        <v>1680000</v>
      </c>
    </row>
    <row r="24" spans="1:14" x14ac:dyDescent="0.35">
      <c r="A24" s="3">
        <v>46260</v>
      </c>
      <c r="B24" t="s">
        <v>4</v>
      </c>
      <c r="C24" s="1">
        <v>1350000</v>
      </c>
      <c r="F24" s="4" t="s">
        <v>18</v>
      </c>
    </row>
    <row r="25" spans="1:14" x14ac:dyDescent="0.35">
      <c r="A25" s="3">
        <v>46260</v>
      </c>
      <c r="B25" t="s">
        <v>5</v>
      </c>
      <c r="C25" s="1">
        <v>1980000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7</v>
      </c>
    </row>
    <row r="26" spans="1:14" x14ac:dyDescent="0.35">
      <c r="E26" t="s">
        <v>17</v>
      </c>
      <c r="F26" s="1">
        <v>3680000</v>
      </c>
      <c r="G26" s="1">
        <v>3980000</v>
      </c>
      <c r="H26" s="1">
        <v>4290000</v>
      </c>
      <c r="I26" s="1">
        <v>4520000</v>
      </c>
      <c r="J26" s="1">
        <v>4290000</v>
      </c>
      <c r="K26" s="1">
        <v>4790000</v>
      </c>
      <c r="L26" s="1">
        <v>4620000</v>
      </c>
      <c r="M26" s="1">
        <v>5010000</v>
      </c>
      <c r="N26" s="1">
        <v>35180000</v>
      </c>
    </row>
  </sheetData>
  <pageMargins left="0.75" right="0.75" top="1" bottom="1" header="0.5" footer="0.5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0A52-2E01-45AA-8E95-4ECA25749E77}">
  <dimension ref="A1:N26"/>
  <sheetViews>
    <sheetView showGridLines="0" zoomScaleNormal="100" workbookViewId="0">
      <pane ySplit="1" topLeftCell="A2" activePane="bottomLeft" state="frozen"/>
      <selection pane="bottomLeft" activeCell="G24" sqref="G24"/>
    </sheetView>
  </sheetViews>
  <sheetFormatPr defaultRowHeight="14.5" x14ac:dyDescent="0.35"/>
  <cols>
    <col min="1" max="1" width="12" customWidth="1"/>
    <col min="2" max="3" width="15" customWidth="1"/>
    <col min="5" max="5" width="7.26953125" bestFit="1" customWidth="1"/>
    <col min="6" max="6" width="12.26953125" bestFit="1" customWidth="1"/>
    <col min="7" max="13" width="8.90625" bestFit="1" customWidth="1"/>
    <col min="14" max="14" width="10.7265625" bestFit="1" customWidth="1"/>
  </cols>
  <sheetData>
    <row r="1" spans="1:14" x14ac:dyDescent="0.35">
      <c r="A1" s="5" t="s">
        <v>0</v>
      </c>
      <c r="B1" s="5" t="s">
        <v>1</v>
      </c>
      <c r="C1" s="5" t="s">
        <v>2</v>
      </c>
      <c r="E1" s="4" t="s">
        <v>1</v>
      </c>
      <c r="F1" t="s">
        <v>3</v>
      </c>
    </row>
    <row r="2" spans="1:14" x14ac:dyDescent="0.35">
      <c r="A2" s="3">
        <v>46048</v>
      </c>
      <c r="B2" t="s">
        <v>3</v>
      </c>
      <c r="C2" s="1">
        <v>1000000</v>
      </c>
    </row>
    <row r="3" spans="1:14" x14ac:dyDescent="0.35">
      <c r="A3" s="3">
        <v>46048</v>
      </c>
      <c r="B3" t="s">
        <v>4</v>
      </c>
      <c r="C3" s="1">
        <v>950000</v>
      </c>
      <c r="F3" s="4" t="s">
        <v>3</v>
      </c>
    </row>
    <row r="4" spans="1:14" x14ac:dyDescent="0.35">
      <c r="A4" s="3">
        <v>46048</v>
      </c>
      <c r="B4" t="s">
        <v>5</v>
      </c>
      <c r="C4" s="1">
        <v>1400000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7</v>
      </c>
    </row>
    <row r="5" spans="1:14" x14ac:dyDescent="0.35">
      <c r="A5" s="3">
        <v>46079</v>
      </c>
      <c r="B5" t="s">
        <v>3</v>
      </c>
      <c r="C5" s="1">
        <v>1620000</v>
      </c>
      <c r="E5" t="s">
        <v>17</v>
      </c>
      <c r="F5" s="1">
        <v>1000000</v>
      </c>
      <c r="G5" s="1">
        <v>1620000</v>
      </c>
      <c r="H5" s="1">
        <v>1510000</v>
      </c>
      <c r="I5" s="1">
        <v>1800000</v>
      </c>
      <c r="J5" s="1">
        <v>1600000</v>
      </c>
      <c r="K5" s="1">
        <v>1600000</v>
      </c>
      <c r="L5" s="1">
        <v>1800000</v>
      </c>
      <c r="M5" s="1">
        <v>1600000</v>
      </c>
      <c r="N5" s="1">
        <v>12530000</v>
      </c>
    </row>
    <row r="6" spans="1:14" x14ac:dyDescent="0.35">
      <c r="A6" s="3">
        <v>46079</v>
      </c>
      <c r="B6" t="s">
        <v>4</v>
      </c>
      <c r="C6" s="1">
        <v>1400000</v>
      </c>
    </row>
    <row r="7" spans="1:14" x14ac:dyDescent="0.35">
      <c r="A7" s="3">
        <v>46079</v>
      </c>
      <c r="B7" t="s">
        <v>5</v>
      </c>
      <c r="C7" s="1">
        <v>1700000</v>
      </c>
    </row>
    <row r="8" spans="1:14" x14ac:dyDescent="0.35">
      <c r="A8" s="3">
        <v>46107</v>
      </c>
      <c r="B8" t="s">
        <v>3</v>
      </c>
      <c r="C8" s="1">
        <v>1510000</v>
      </c>
      <c r="E8" s="4" t="s">
        <v>1</v>
      </c>
      <c r="F8" t="s">
        <v>4</v>
      </c>
    </row>
    <row r="9" spans="1:14" x14ac:dyDescent="0.35">
      <c r="A9" s="3">
        <v>46107</v>
      </c>
      <c r="B9" t="s">
        <v>4</v>
      </c>
      <c r="C9" s="1">
        <v>1350000</v>
      </c>
    </row>
    <row r="10" spans="1:14" x14ac:dyDescent="0.35">
      <c r="A10" s="3">
        <v>46107</v>
      </c>
      <c r="B10" t="s">
        <v>5</v>
      </c>
      <c r="C10" s="1">
        <v>1900000</v>
      </c>
      <c r="F10" s="4" t="s">
        <v>4</v>
      </c>
    </row>
    <row r="11" spans="1:14" x14ac:dyDescent="0.35">
      <c r="A11" s="3">
        <v>46138</v>
      </c>
      <c r="B11" t="s">
        <v>3</v>
      </c>
      <c r="C11" s="1">
        <v>1800000</v>
      </c>
      <c r="F11" t="s">
        <v>8</v>
      </c>
      <c r="G11" t="s">
        <v>9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  <c r="M11" t="s">
        <v>15</v>
      </c>
      <c r="N11" t="s">
        <v>7</v>
      </c>
    </row>
    <row r="12" spans="1:14" x14ac:dyDescent="0.35">
      <c r="A12" s="3">
        <v>46138</v>
      </c>
      <c r="B12" t="s">
        <v>4</v>
      </c>
      <c r="C12" s="1">
        <v>1700000</v>
      </c>
      <c r="E12" t="s">
        <v>17</v>
      </c>
      <c r="F12" s="1">
        <v>950000</v>
      </c>
      <c r="G12" s="1">
        <v>1400000</v>
      </c>
      <c r="H12" s="1">
        <v>1350000</v>
      </c>
      <c r="I12" s="1">
        <v>1700000</v>
      </c>
      <c r="J12" s="1">
        <v>1300000</v>
      </c>
      <c r="K12" s="1">
        <v>1500000</v>
      </c>
      <c r="L12" s="1">
        <v>1400000</v>
      </c>
      <c r="M12" s="1">
        <v>1300000</v>
      </c>
      <c r="N12" s="1">
        <v>10900000</v>
      </c>
    </row>
    <row r="13" spans="1:14" x14ac:dyDescent="0.35">
      <c r="A13" s="3">
        <v>46138</v>
      </c>
      <c r="B13" t="s">
        <v>5</v>
      </c>
      <c r="C13" s="1">
        <v>1800000</v>
      </c>
    </row>
    <row r="14" spans="1:14" x14ac:dyDescent="0.35">
      <c r="A14" s="3">
        <v>46168</v>
      </c>
      <c r="B14" t="s">
        <v>3</v>
      </c>
      <c r="C14" s="1">
        <v>1600000</v>
      </c>
    </row>
    <row r="15" spans="1:14" x14ac:dyDescent="0.35">
      <c r="A15" s="3">
        <v>46168</v>
      </c>
      <c r="B15" t="s">
        <v>4</v>
      </c>
      <c r="C15" s="1">
        <v>1300000</v>
      </c>
      <c r="E15" s="4" t="s">
        <v>1</v>
      </c>
      <c r="F15" t="s">
        <v>5</v>
      </c>
    </row>
    <row r="16" spans="1:14" x14ac:dyDescent="0.35">
      <c r="A16" s="3">
        <v>46168</v>
      </c>
      <c r="B16" t="s">
        <v>5</v>
      </c>
      <c r="C16" s="1">
        <v>1800000</v>
      </c>
    </row>
    <row r="17" spans="1:14" x14ac:dyDescent="0.35">
      <c r="A17" s="3">
        <v>46199</v>
      </c>
      <c r="B17" t="s">
        <v>3</v>
      </c>
      <c r="C17" s="1">
        <v>1600000</v>
      </c>
      <c r="F17" s="4" t="s">
        <v>5</v>
      </c>
    </row>
    <row r="18" spans="1:14" x14ac:dyDescent="0.35">
      <c r="A18" s="3">
        <v>46199</v>
      </c>
      <c r="B18" t="s">
        <v>4</v>
      </c>
      <c r="C18" s="1">
        <v>1500000</v>
      </c>
      <c r="F18" t="s">
        <v>8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7</v>
      </c>
    </row>
    <row r="19" spans="1:14" x14ac:dyDescent="0.35">
      <c r="A19" s="3">
        <v>46199</v>
      </c>
      <c r="B19" t="s">
        <v>5</v>
      </c>
      <c r="C19" s="1">
        <v>2000000</v>
      </c>
      <c r="E19" t="s">
        <v>17</v>
      </c>
      <c r="F19" s="1">
        <v>1400000</v>
      </c>
      <c r="G19" s="1">
        <v>1700000</v>
      </c>
      <c r="H19" s="1">
        <v>1900000</v>
      </c>
      <c r="I19" s="1">
        <v>1800000</v>
      </c>
      <c r="J19" s="1">
        <v>1800000</v>
      </c>
      <c r="K19" s="1">
        <v>2000000</v>
      </c>
      <c r="L19" s="1">
        <v>2000000</v>
      </c>
      <c r="M19" s="1">
        <v>2000000</v>
      </c>
      <c r="N19" s="1">
        <v>14600000</v>
      </c>
    </row>
    <row r="20" spans="1:14" x14ac:dyDescent="0.35">
      <c r="A20" s="3">
        <v>46229</v>
      </c>
      <c r="B20" t="s">
        <v>3</v>
      </c>
      <c r="C20" s="1">
        <v>1800000</v>
      </c>
    </row>
    <row r="21" spans="1:14" x14ac:dyDescent="0.35">
      <c r="A21" s="3">
        <v>46229</v>
      </c>
      <c r="B21" t="s">
        <v>4</v>
      </c>
      <c r="C21" s="1">
        <v>1400000</v>
      </c>
    </row>
    <row r="22" spans="1:14" x14ac:dyDescent="0.35">
      <c r="A22" s="3">
        <v>46229</v>
      </c>
      <c r="B22" t="s">
        <v>5</v>
      </c>
      <c r="C22" s="1">
        <v>2000000</v>
      </c>
      <c r="E22" s="4" t="s">
        <v>1</v>
      </c>
      <c r="F22" t="s">
        <v>16</v>
      </c>
    </row>
    <row r="23" spans="1:14" x14ac:dyDescent="0.35">
      <c r="A23" s="3">
        <v>46260</v>
      </c>
      <c r="B23" t="s">
        <v>3</v>
      </c>
      <c r="C23" s="1">
        <v>1600000</v>
      </c>
    </row>
    <row r="24" spans="1:14" x14ac:dyDescent="0.35">
      <c r="A24" s="3">
        <v>46260</v>
      </c>
      <c r="B24" t="s">
        <v>4</v>
      </c>
      <c r="C24" s="1">
        <v>1300000</v>
      </c>
      <c r="F24" s="4" t="s">
        <v>18</v>
      </c>
    </row>
    <row r="25" spans="1:14" x14ac:dyDescent="0.35">
      <c r="A25" s="3">
        <v>46260</v>
      </c>
      <c r="B25" t="s">
        <v>5</v>
      </c>
      <c r="C25" s="1">
        <v>2000000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7</v>
      </c>
    </row>
    <row r="26" spans="1:14" x14ac:dyDescent="0.35">
      <c r="E26" t="s">
        <v>17</v>
      </c>
      <c r="F26" s="1">
        <v>3350000</v>
      </c>
      <c r="G26" s="1">
        <v>4720000</v>
      </c>
      <c r="H26" s="1">
        <v>4760000</v>
      </c>
      <c r="I26" s="1">
        <v>5300000</v>
      </c>
      <c r="J26" s="1">
        <v>4700000</v>
      </c>
      <c r="K26" s="1">
        <v>5100000</v>
      </c>
      <c r="L26" s="1">
        <v>5200000</v>
      </c>
      <c r="M26" s="1">
        <v>4900000</v>
      </c>
      <c r="N26" s="1">
        <v>38030000</v>
      </c>
    </row>
  </sheetData>
  <pageMargins left="0.75" right="0.75" top="1" bottom="1" header="0.5" footer="0.5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ED77-652D-4D4A-819F-A93EE64C02F8}">
  <dimension ref="A1:N26"/>
  <sheetViews>
    <sheetView showGridLines="0"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1" width="12" customWidth="1"/>
    <col min="2" max="3" width="15" customWidth="1"/>
    <col min="5" max="5" width="7.26953125" bestFit="1" customWidth="1"/>
    <col min="6" max="6" width="15.26953125" bestFit="1" customWidth="1"/>
    <col min="7" max="13" width="8.90625" bestFit="1" customWidth="1"/>
    <col min="14" max="14" width="10.7265625" bestFit="1" customWidth="1"/>
  </cols>
  <sheetData>
    <row r="1" spans="1:14" x14ac:dyDescent="0.35">
      <c r="A1" s="5" t="s">
        <v>0</v>
      </c>
      <c r="B1" s="5" t="s">
        <v>1</v>
      </c>
      <c r="C1" s="5" t="s">
        <v>2</v>
      </c>
      <c r="E1" s="4" t="s">
        <v>1</v>
      </c>
      <c r="F1" t="s">
        <v>3</v>
      </c>
    </row>
    <row r="2" spans="1:14" x14ac:dyDescent="0.35">
      <c r="A2" s="3">
        <v>46048</v>
      </c>
      <c r="B2" t="s">
        <v>3</v>
      </c>
      <c r="C2" s="1">
        <v>1138000</v>
      </c>
    </row>
    <row r="3" spans="1:14" x14ac:dyDescent="0.35">
      <c r="A3" s="3">
        <v>46048</v>
      </c>
      <c r="B3" t="s">
        <v>4</v>
      </c>
      <c r="C3" s="1">
        <v>911000</v>
      </c>
      <c r="F3" s="4" t="s">
        <v>6</v>
      </c>
    </row>
    <row r="4" spans="1:14" x14ac:dyDescent="0.35">
      <c r="A4" s="3">
        <v>46048</v>
      </c>
      <c r="B4" t="s">
        <v>5</v>
      </c>
      <c r="C4" s="1">
        <v>1305000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7</v>
      </c>
    </row>
    <row r="5" spans="1:14" x14ac:dyDescent="0.35">
      <c r="A5" s="3">
        <v>46079</v>
      </c>
      <c r="B5" t="s">
        <v>3</v>
      </c>
      <c r="C5" s="1">
        <v>1214000</v>
      </c>
      <c r="E5" t="s">
        <v>17</v>
      </c>
      <c r="F5" s="1">
        <v>1138000</v>
      </c>
      <c r="G5" s="1">
        <v>1214000</v>
      </c>
      <c r="H5" s="1">
        <v>1311000</v>
      </c>
      <c r="I5" s="1">
        <v>1425000</v>
      </c>
      <c r="J5" s="1">
        <v>1316000</v>
      </c>
      <c r="K5" s="1">
        <v>1504000</v>
      </c>
      <c r="L5" s="1">
        <v>1432000</v>
      </c>
      <c r="M5" s="1">
        <v>1596000</v>
      </c>
      <c r="N5" s="1">
        <v>10936000</v>
      </c>
    </row>
    <row r="6" spans="1:14" x14ac:dyDescent="0.35">
      <c r="A6" s="3">
        <v>46079</v>
      </c>
      <c r="B6" t="s">
        <v>4</v>
      </c>
      <c r="C6" s="1">
        <v>1015000</v>
      </c>
    </row>
    <row r="7" spans="1:14" x14ac:dyDescent="0.35">
      <c r="A7" s="3">
        <v>46079</v>
      </c>
      <c r="B7" t="s">
        <v>5</v>
      </c>
      <c r="C7" s="1">
        <v>1438000</v>
      </c>
    </row>
    <row r="8" spans="1:14" x14ac:dyDescent="0.35">
      <c r="A8" s="3">
        <v>46107</v>
      </c>
      <c r="B8" t="s">
        <v>3</v>
      </c>
      <c r="C8" s="1">
        <v>1311000</v>
      </c>
      <c r="E8" s="4" t="s">
        <v>1</v>
      </c>
      <c r="F8" t="s">
        <v>4</v>
      </c>
    </row>
    <row r="9" spans="1:14" x14ac:dyDescent="0.35">
      <c r="A9" s="3">
        <v>46107</v>
      </c>
      <c r="B9" t="s">
        <v>4</v>
      </c>
      <c r="C9" s="1">
        <v>1067000</v>
      </c>
    </row>
    <row r="10" spans="1:14" x14ac:dyDescent="0.35">
      <c r="A10" s="3">
        <v>46107</v>
      </c>
      <c r="B10" t="s">
        <v>5</v>
      </c>
      <c r="C10" s="1">
        <v>1617000</v>
      </c>
      <c r="F10" s="4" t="s">
        <v>6</v>
      </c>
    </row>
    <row r="11" spans="1:14" x14ac:dyDescent="0.35">
      <c r="A11" s="3">
        <v>46138</v>
      </c>
      <c r="B11" t="s">
        <v>3</v>
      </c>
      <c r="C11" s="1">
        <v>1425000</v>
      </c>
      <c r="F11" t="s">
        <v>8</v>
      </c>
      <c r="G11" t="s">
        <v>9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  <c r="M11" t="s">
        <v>15</v>
      </c>
      <c r="N11" t="s">
        <v>7</v>
      </c>
    </row>
    <row r="12" spans="1:14" x14ac:dyDescent="0.35">
      <c r="A12" s="3">
        <v>46138</v>
      </c>
      <c r="B12" t="s">
        <v>4</v>
      </c>
      <c r="C12" s="1">
        <v>1125000</v>
      </c>
      <c r="E12" t="s">
        <v>17</v>
      </c>
      <c r="F12" s="1">
        <v>911000</v>
      </c>
      <c r="G12" s="1">
        <v>1015000</v>
      </c>
      <c r="H12" s="1">
        <v>1067000</v>
      </c>
      <c r="I12" s="1">
        <v>1125000</v>
      </c>
      <c r="J12" s="1">
        <v>1112000</v>
      </c>
      <c r="K12" s="1">
        <v>1178000</v>
      </c>
      <c r="L12" s="1">
        <v>1166000</v>
      </c>
      <c r="M12" s="1">
        <v>1256000</v>
      </c>
      <c r="N12" s="1">
        <v>8830000</v>
      </c>
    </row>
    <row r="13" spans="1:14" x14ac:dyDescent="0.35">
      <c r="A13" s="3">
        <v>46138</v>
      </c>
      <c r="B13" t="s">
        <v>5</v>
      </c>
      <c r="C13" s="1">
        <v>1665000</v>
      </c>
    </row>
    <row r="14" spans="1:14" x14ac:dyDescent="0.35">
      <c r="A14" s="3">
        <v>46168</v>
      </c>
      <c r="B14" t="s">
        <v>3</v>
      </c>
      <c r="C14" s="1">
        <v>1316000</v>
      </c>
    </row>
    <row r="15" spans="1:14" x14ac:dyDescent="0.35">
      <c r="A15" s="3">
        <v>46168</v>
      </c>
      <c r="B15" t="s">
        <v>4</v>
      </c>
      <c r="C15" s="1">
        <v>1112000</v>
      </c>
      <c r="E15" s="4" t="s">
        <v>1</v>
      </c>
      <c r="F15" t="s">
        <v>5</v>
      </c>
    </row>
    <row r="16" spans="1:14" x14ac:dyDescent="0.35">
      <c r="A16" s="3">
        <v>46168</v>
      </c>
      <c r="B16" t="s">
        <v>5</v>
      </c>
      <c r="C16" s="1">
        <v>1572000</v>
      </c>
    </row>
    <row r="17" spans="1:14" x14ac:dyDescent="0.35">
      <c r="A17" s="3">
        <v>46199</v>
      </c>
      <c r="B17" t="s">
        <v>3</v>
      </c>
      <c r="C17" s="1">
        <v>1504000</v>
      </c>
      <c r="F17" s="4" t="s">
        <v>6</v>
      </c>
    </row>
    <row r="18" spans="1:14" x14ac:dyDescent="0.35">
      <c r="A18" s="3">
        <v>46199</v>
      </c>
      <c r="B18" t="s">
        <v>4</v>
      </c>
      <c r="C18" s="1">
        <v>1178000</v>
      </c>
      <c r="F18" t="s">
        <v>8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7</v>
      </c>
    </row>
    <row r="19" spans="1:14" x14ac:dyDescent="0.35">
      <c r="A19" s="3">
        <v>46199</v>
      </c>
      <c r="B19" t="s">
        <v>5</v>
      </c>
      <c r="C19" s="1">
        <v>1814000</v>
      </c>
      <c r="E19" t="s">
        <v>17</v>
      </c>
      <c r="F19" s="1">
        <v>1305000</v>
      </c>
      <c r="G19" s="1">
        <v>1438000</v>
      </c>
      <c r="H19" s="1">
        <v>1617000</v>
      </c>
      <c r="I19" s="1">
        <v>1665000</v>
      </c>
      <c r="J19" s="1">
        <v>1572000</v>
      </c>
      <c r="K19" s="1">
        <v>1814000</v>
      </c>
      <c r="L19" s="1">
        <v>1693000</v>
      </c>
      <c r="M19" s="1">
        <v>1861000</v>
      </c>
      <c r="N19" s="1">
        <v>12965000</v>
      </c>
    </row>
    <row r="20" spans="1:14" x14ac:dyDescent="0.35">
      <c r="A20" s="3">
        <v>46229</v>
      </c>
      <c r="B20" t="s">
        <v>3</v>
      </c>
      <c r="C20" s="1">
        <v>1432000</v>
      </c>
    </row>
    <row r="21" spans="1:14" x14ac:dyDescent="0.35">
      <c r="A21" s="3">
        <v>46229</v>
      </c>
      <c r="B21" t="s">
        <v>4</v>
      </c>
      <c r="C21" s="1">
        <v>1166000</v>
      </c>
    </row>
    <row r="22" spans="1:14" x14ac:dyDescent="0.35">
      <c r="A22" s="3">
        <v>46229</v>
      </c>
      <c r="B22" t="s">
        <v>5</v>
      </c>
      <c r="C22" s="1">
        <v>1693000</v>
      </c>
      <c r="E22" s="4" t="s">
        <v>1</v>
      </c>
      <c r="F22" t="s">
        <v>16</v>
      </c>
    </row>
    <row r="23" spans="1:14" x14ac:dyDescent="0.35">
      <c r="A23" s="3">
        <v>46260</v>
      </c>
      <c r="B23" t="s">
        <v>3</v>
      </c>
      <c r="C23" s="1">
        <v>1596000</v>
      </c>
    </row>
    <row r="24" spans="1:14" x14ac:dyDescent="0.35">
      <c r="A24" s="3">
        <v>46260</v>
      </c>
      <c r="B24" t="s">
        <v>4</v>
      </c>
      <c r="C24" s="1">
        <v>1256000</v>
      </c>
      <c r="F24" s="4" t="s">
        <v>6</v>
      </c>
    </row>
    <row r="25" spans="1:14" x14ac:dyDescent="0.35">
      <c r="A25" s="3">
        <v>46260</v>
      </c>
      <c r="B25" t="s">
        <v>5</v>
      </c>
      <c r="C25" s="1">
        <v>1861000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7</v>
      </c>
    </row>
    <row r="26" spans="1:14" x14ac:dyDescent="0.35">
      <c r="E26" t="s">
        <v>17</v>
      </c>
      <c r="F26" s="1">
        <v>3354000</v>
      </c>
      <c r="G26" s="1">
        <v>3667000</v>
      </c>
      <c r="H26" s="1">
        <v>3995000</v>
      </c>
      <c r="I26" s="1">
        <v>4215000</v>
      </c>
      <c r="J26" s="1">
        <v>4000000</v>
      </c>
      <c r="K26" s="1">
        <v>4496000</v>
      </c>
      <c r="L26" s="1">
        <v>4291000</v>
      </c>
      <c r="M26" s="1">
        <v>4713000</v>
      </c>
      <c r="N26" s="1">
        <v>32731000</v>
      </c>
    </row>
  </sheetData>
  <pageMargins left="0.75" right="0.75" top="1" bottom="1" header="0.5" footer="0.5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24E4-76A1-4C18-8919-DDA453ADC848}">
  <dimension ref="A1:N26"/>
  <sheetViews>
    <sheetView showGridLines="0" workbookViewId="0">
      <pane ySplit="1" topLeftCell="A2" activePane="bottomLeft" state="frozen"/>
      <selection pane="bottomLeft" activeCell="G24" sqref="G24"/>
    </sheetView>
  </sheetViews>
  <sheetFormatPr defaultRowHeight="14.5" x14ac:dyDescent="0.35"/>
  <cols>
    <col min="1" max="1" width="12" customWidth="1"/>
    <col min="2" max="3" width="15" customWidth="1"/>
    <col min="5" max="5" width="7.26953125" bestFit="1" customWidth="1"/>
    <col min="6" max="6" width="15.26953125" bestFit="1" customWidth="1"/>
    <col min="7" max="13" width="8.90625" bestFit="1" customWidth="1"/>
    <col min="14" max="14" width="10.7265625" bestFit="1" customWidth="1"/>
  </cols>
  <sheetData>
    <row r="1" spans="1:14" x14ac:dyDescent="0.35">
      <c r="A1" s="5" t="s">
        <v>0</v>
      </c>
      <c r="B1" s="5" t="s">
        <v>1</v>
      </c>
      <c r="C1" s="5" t="s">
        <v>2</v>
      </c>
      <c r="E1" s="4" t="s">
        <v>1</v>
      </c>
      <c r="F1" t="s">
        <v>3</v>
      </c>
    </row>
    <row r="2" spans="1:14" x14ac:dyDescent="0.35">
      <c r="A2" s="3">
        <v>46048</v>
      </c>
      <c r="B2" t="s">
        <v>3</v>
      </c>
      <c r="C2" s="1">
        <v>1200000</v>
      </c>
    </row>
    <row r="3" spans="1:14" x14ac:dyDescent="0.35">
      <c r="A3" s="3">
        <v>46048</v>
      </c>
      <c r="B3" t="s">
        <v>4</v>
      </c>
      <c r="C3" s="1">
        <v>1000000</v>
      </c>
      <c r="F3" s="4" t="s">
        <v>6</v>
      </c>
    </row>
    <row r="4" spans="1:14" x14ac:dyDescent="0.35">
      <c r="A4" s="3">
        <v>46048</v>
      </c>
      <c r="B4" t="s">
        <v>5</v>
      </c>
      <c r="C4" s="1">
        <v>1300000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7</v>
      </c>
    </row>
    <row r="5" spans="1:14" x14ac:dyDescent="0.35">
      <c r="A5" s="3">
        <v>46079</v>
      </c>
      <c r="B5" t="s">
        <v>3</v>
      </c>
      <c r="C5" s="1">
        <v>1300000</v>
      </c>
      <c r="E5" t="s">
        <v>17</v>
      </c>
      <c r="F5" s="1">
        <v>1200000</v>
      </c>
      <c r="G5" s="1">
        <v>1300000</v>
      </c>
      <c r="H5" s="1">
        <v>1300000</v>
      </c>
      <c r="I5" s="1">
        <v>1500000</v>
      </c>
      <c r="J5" s="1">
        <v>1300000</v>
      </c>
      <c r="K5" s="1">
        <v>1600000</v>
      </c>
      <c r="L5" s="1">
        <v>1800000</v>
      </c>
      <c r="M5" s="1">
        <v>1600000</v>
      </c>
      <c r="N5" s="1">
        <v>11600000</v>
      </c>
    </row>
    <row r="6" spans="1:14" x14ac:dyDescent="0.35">
      <c r="A6" s="3">
        <v>46079</v>
      </c>
      <c r="B6" t="s">
        <v>4</v>
      </c>
      <c r="C6" s="1">
        <v>1200000</v>
      </c>
    </row>
    <row r="7" spans="1:14" x14ac:dyDescent="0.35">
      <c r="A7" s="3">
        <v>46079</v>
      </c>
      <c r="B7" t="s">
        <v>5</v>
      </c>
      <c r="C7" s="1">
        <v>1400000</v>
      </c>
    </row>
    <row r="8" spans="1:14" x14ac:dyDescent="0.35">
      <c r="A8" s="3">
        <v>46107</v>
      </c>
      <c r="B8" t="s">
        <v>3</v>
      </c>
      <c r="C8" s="1">
        <v>1300000</v>
      </c>
      <c r="E8" s="4" t="s">
        <v>1</v>
      </c>
      <c r="F8" t="s">
        <v>4</v>
      </c>
    </row>
    <row r="9" spans="1:14" x14ac:dyDescent="0.35">
      <c r="A9" s="3">
        <v>46107</v>
      </c>
      <c r="B9" t="s">
        <v>4</v>
      </c>
      <c r="C9" s="1">
        <v>1100000</v>
      </c>
    </row>
    <row r="10" spans="1:14" x14ac:dyDescent="0.35">
      <c r="A10" s="3">
        <v>46107</v>
      </c>
      <c r="B10" t="s">
        <v>5</v>
      </c>
      <c r="C10" s="1">
        <v>1600000</v>
      </c>
      <c r="F10" s="4" t="s">
        <v>6</v>
      </c>
    </row>
    <row r="11" spans="1:14" x14ac:dyDescent="0.35">
      <c r="A11" s="3">
        <v>46138</v>
      </c>
      <c r="B11" t="s">
        <v>3</v>
      </c>
      <c r="C11" s="1">
        <v>1500000</v>
      </c>
      <c r="F11" t="s">
        <v>8</v>
      </c>
      <c r="G11" t="s">
        <v>9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  <c r="M11" t="s">
        <v>15</v>
      </c>
      <c r="N11" t="s">
        <v>7</v>
      </c>
    </row>
    <row r="12" spans="1:14" x14ac:dyDescent="0.35">
      <c r="A12" s="3">
        <v>46138</v>
      </c>
      <c r="B12" t="s">
        <v>4</v>
      </c>
      <c r="C12" s="1">
        <v>1200000</v>
      </c>
      <c r="E12" t="s">
        <v>17</v>
      </c>
      <c r="F12" s="1">
        <v>1000000</v>
      </c>
      <c r="G12" s="1">
        <v>1200000</v>
      </c>
      <c r="H12" s="1">
        <v>1100000</v>
      </c>
      <c r="I12" s="1">
        <v>1200000</v>
      </c>
      <c r="J12" s="1">
        <v>1200000</v>
      </c>
      <c r="K12" s="1">
        <v>1200000</v>
      </c>
      <c r="L12" s="1">
        <v>1200000</v>
      </c>
      <c r="M12" s="1">
        <v>1200000</v>
      </c>
      <c r="N12" s="1">
        <v>9300000</v>
      </c>
    </row>
    <row r="13" spans="1:14" x14ac:dyDescent="0.35">
      <c r="A13" s="3">
        <v>46138</v>
      </c>
      <c r="B13" t="s">
        <v>5</v>
      </c>
      <c r="C13" s="1">
        <v>1600000</v>
      </c>
    </row>
    <row r="14" spans="1:14" x14ac:dyDescent="0.35">
      <c r="A14" s="3">
        <v>46168</v>
      </c>
      <c r="B14" t="s">
        <v>3</v>
      </c>
      <c r="C14" s="1">
        <v>1300000</v>
      </c>
    </row>
    <row r="15" spans="1:14" x14ac:dyDescent="0.35">
      <c r="A15" s="3">
        <v>46168</v>
      </c>
      <c r="B15" t="s">
        <v>4</v>
      </c>
      <c r="C15" s="1">
        <v>1200000</v>
      </c>
      <c r="E15" s="4" t="s">
        <v>1</v>
      </c>
      <c r="F15" t="s">
        <v>5</v>
      </c>
    </row>
    <row r="16" spans="1:14" x14ac:dyDescent="0.35">
      <c r="A16" s="3">
        <v>46168</v>
      </c>
      <c r="B16" t="s">
        <v>5</v>
      </c>
      <c r="C16" s="1">
        <v>1500000</v>
      </c>
    </row>
    <row r="17" spans="1:14" x14ac:dyDescent="0.35">
      <c r="A17" s="3">
        <v>46199</v>
      </c>
      <c r="B17" t="s">
        <v>3</v>
      </c>
      <c r="C17" s="1">
        <v>1600000</v>
      </c>
      <c r="F17" s="4" t="s">
        <v>6</v>
      </c>
    </row>
    <row r="18" spans="1:14" x14ac:dyDescent="0.35">
      <c r="A18" s="3">
        <v>46199</v>
      </c>
      <c r="B18" t="s">
        <v>4</v>
      </c>
      <c r="C18" s="1">
        <v>1200000</v>
      </c>
      <c r="F18" t="s">
        <v>8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7</v>
      </c>
    </row>
    <row r="19" spans="1:14" x14ac:dyDescent="0.35">
      <c r="A19" s="3">
        <v>46199</v>
      </c>
      <c r="B19" t="s">
        <v>5</v>
      </c>
      <c r="C19" s="1">
        <v>2000000</v>
      </c>
      <c r="E19" t="s">
        <v>17</v>
      </c>
      <c r="F19" s="1">
        <v>1300000</v>
      </c>
      <c r="G19" s="1">
        <v>1400000</v>
      </c>
      <c r="H19" s="1">
        <v>1600000</v>
      </c>
      <c r="I19" s="1">
        <v>1600000</v>
      </c>
      <c r="J19" s="1">
        <v>1500000</v>
      </c>
      <c r="K19" s="1">
        <v>2000000</v>
      </c>
      <c r="L19" s="1">
        <v>1800000</v>
      </c>
      <c r="M19" s="1">
        <v>1800000</v>
      </c>
      <c r="N19" s="1">
        <v>13000000</v>
      </c>
    </row>
    <row r="20" spans="1:14" x14ac:dyDescent="0.35">
      <c r="A20" s="3">
        <v>46229</v>
      </c>
      <c r="B20" t="s">
        <v>3</v>
      </c>
      <c r="C20" s="1">
        <v>1800000</v>
      </c>
    </row>
    <row r="21" spans="1:14" x14ac:dyDescent="0.35">
      <c r="A21" s="3">
        <v>46229</v>
      </c>
      <c r="B21" t="s">
        <v>4</v>
      </c>
      <c r="C21" s="1">
        <v>1200000</v>
      </c>
    </row>
    <row r="22" spans="1:14" x14ac:dyDescent="0.35">
      <c r="A22" s="3">
        <v>46229</v>
      </c>
      <c r="B22" t="s">
        <v>5</v>
      </c>
      <c r="C22" s="1">
        <v>1800000</v>
      </c>
      <c r="E22" s="4" t="s">
        <v>1</v>
      </c>
      <c r="F22" t="s">
        <v>16</v>
      </c>
    </row>
    <row r="23" spans="1:14" x14ac:dyDescent="0.35">
      <c r="A23" s="3">
        <v>46260</v>
      </c>
      <c r="B23" t="s">
        <v>3</v>
      </c>
      <c r="C23" s="1">
        <v>1600000</v>
      </c>
    </row>
    <row r="24" spans="1:14" x14ac:dyDescent="0.35">
      <c r="A24" s="3">
        <v>46260</v>
      </c>
      <c r="B24" t="s">
        <v>4</v>
      </c>
      <c r="C24" s="1">
        <v>1200000</v>
      </c>
      <c r="F24" s="4" t="s">
        <v>6</v>
      </c>
    </row>
    <row r="25" spans="1:14" x14ac:dyDescent="0.35">
      <c r="A25" s="3">
        <v>46260</v>
      </c>
      <c r="B25" t="s">
        <v>5</v>
      </c>
      <c r="C25" s="1">
        <v>1800000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7</v>
      </c>
    </row>
    <row r="26" spans="1:14" x14ac:dyDescent="0.35">
      <c r="E26" t="s">
        <v>17</v>
      </c>
      <c r="F26" s="1">
        <v>3500000</v>
      </c>
      <c r="G26" s="1">
        <v>3900000</v>
      </c>
      <c r="H26" s="1">
        <v>4000000</v>
      </c>
      <c r="I26" s="1">
        <v>4300000</v>
      </c>
      <c r="J26" s="1">
        <v>4000000</v>
      </c>
      <c r="K26" s="1">
        <v>4800000</v>
      </c>
      <c r="L26" s="1">
        <v>4800000</v>
      </c>
      <c r="M26" s="1">
        <v>4600000</v>
      </c>
      <c r="N26" s="1">
        <v>33900000</v>
      </c>
    </row>
  </sheetData>
  <pageMargins left="0.75" right="0.75" top="1" bottom="1" header="0.5" footer="0.5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D5DC-BB86-40B6-A7F9-F384D8083C33}">
  <dimension ref="A1:N26"/>
  <sheetViews>
    <sheetView showGridLines="0" tabSelected="1" workbookViewId="0">
      <pane ySplit="1" topLeftCell="A2" activePane="bottomLeft" state="frozen"/>
      <selection pane="bottomLeft" activeCell="C22" sqref="C22"/>
    </sheetView>
  </sheetViews>
  <sheetFormatPr defaultRowHeight="14.5" x14ac:dyDescent="0.35"/>
  <cols>
    <col min="1" max="1" width="12" customWidth="1"/>
    <col min="2" max="3" width="15" customWidth="1"/>
    <col min="5" max="5" width="7.26953125" bestFit="1" customWidth="1"/>
    <col min="6" max="6" width="12.26953125" bestFit="1" customWidth="1"/>
    <col min="7" max="8" width="7.36328125" bestFit="1" customWidth="1"/>
    <col min="9" max="9" width="6.36328125" bestFit="1" customWidth="1"/>
    <col min="10" max="13" width="7.36328125" bestFit="1" customWidth="1"/>
    <col min="14" max="14" width="10.7265625" bestFit="1" customWidth="1"/>
  </cols>
  <sheetData>
    <row r="1" spans="1:14" x14ac:dyDescent="0.35">
      <c r="A1" s="5" t="s">
        <v>0</v>
      </c>
      <c r="B1" s="5" t="s">
        <v>1</v>
      </c>
      <c r="C1" s="5" t="s">
        <v>2</v>
      </c>
      <c r="E1" s="4" t="s">
        <v>1</v>
      </c>
      <c r="F1" t="s">
        <v>3</v>
      </c>
    </row>
    <row r="2" spans="1:14" x14ac:dyDescent="0.35">
      <c r="A2" s="3">
        <v>46048</v>
      </c>
      <c r="B2" t="s">
        <v>3</v>
      </c>
      <c r="C2" s="1">
        <v>104000</v>
      </c>
    </row>
    <row r="3" spans="1:14" x14ac:dyDescent="0.35">
      <c r="A3" s="3">
        <v>46048</v>
      </c>
      <c r="B3" t="s">
        <v>4</v>
      </c>
      <c r="C3" s="1">
        <v>206000</v>
      </c>
      <c r="F3" s="4" t="s">
        <v>18</v>
      </c>
    </row>
    <row r="4" spans="1:14" x14ac:dyDescent="0.35">
      <c r="A4" s="3">
        <v>46048</v>
      </c>
      <c r="B4" t="s">
        <v>5</v>
      </c>
      <c r="C4" s="1">
        <v>116000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7</v>
      </c>
    </row>
    <row r="5" spans="1:14" x14ac:dyDescent="0.35">
      <c r="A5" s="3">
        <v>46079</v>
      </c>
      <c r="B5" t="s">
        <v>3</v>
      </c>
      <c r="C5" s="1">
        <v>102000</v>
      </c>
      <c r="E5" t="s">
        <v>17</v>
      </c>
      <c r="F5" s="1">
        <v>104000</v>
      </c>
      <c r="G5" s="1">
        <v>102000</v>
      </c>
      <c r="H5" s="1">
        <v>128000</v>
      </c>
      <c r="I5" s="1">
        <v>90000</v>
      </c>
      <c r="J5" s="1">
        <v>114000</v>
      </c>
      <c r="K5" s="1">
        <v>104000</v>
      </c>
      <c r="L5" s="1">
        <v>108000</v>
      </c>
      <c r="M5" s="1">
        <v>192000</v>
      </c>
      <c r="N5" s="1">
        <v>942000</v>
      </c>
    </row>
    <row r="6" spans="1:14" x14ac:dyDescent="0.35">
      <c r="A6" s="3">
        <v>46079</v>
      </c>
      <c r="B6" t="s">
        <v>4</v>
      </c>
      <c r="C6" s="1">
        <v>210000</v>
      </c>
    </row>
    <row r="7" spans="1:14" x14ac:dyDescent="0.35">
      <c r="A7" s="3">
        <v>46079</v>
      </c>
      <c r="B7" t="s">
        <v>5</v>
      </c>
      <c r="C7" s="1">
        <v>118000</v>
      </c>
    </row>
    <row r="8" spans="1:14" x14ac:dyDescent="0.35">
      <c r="A8" s="3">
        <v>46107</v>
      </c>
      <c r="B8" t="s">
        <v>3</v>
      </c>
      <c r="C8" s="1">
        <v>128000</v>
      </c>
      <c r="E8" s="4" t="s">
        <v>1</v>
      </c>
      <c r="F8" t="s">
        <v>4</v>
      </c>
    </row>
    <row r="9" spans="1:14" x14ac:dyDescent="0.35">
      <c r="A9" s="3">
        <v>46107</v>
      </c>
      <c r="B9" t="s">
        <v>4</v>
      </c>
      <c r="C9" s="1">
        <v>281000</v>
      </c>
    </row>
    <row r="10" spans="1:14" x14ac:dyDescent="0.35">
      <c r="A10" s="3">
        <v>46107</v>
      </c>
      <c r="B10" t="s">
        <v>5</v>
      </c>
      <c r="C10" s="1">
        <v>195000</v>
      </c>
      <c r="F10" s="4" t="s">
        <v>3</v>
      </c>
    </row>
    <row r="11" spans="1:14" x14ac:dyDescent="0.35">
      <c r="A11" s="3">
        <v>46138</v>
      </c>
      <c r="B11" t="s">
        <v>3</v>
      </c>
      <c r="C11" s="1">
        <v>90000</v>
      </c>
      <c r="F11" s="2" t="s">
        <v>8</v>
      </c>
      <c r="G11" s="2" t="s">
        <v>9</v>
      </c>
      <c r="H11" s="2" t="s">
        <v>10</v>
      </c>
      <c r="I11" s="2" t="s">
        <v>11</v>
      </c>
      <c r="J11" s="2" t="s">
        <v>12</v>
      </c>
      <c r="K11" s="2" t="s">
        <v>13</v>
      </c>
      <c r="L11" s="2" t="s">
        <v>14</v>
      </c>
      <c r="M11" s="2" t="s">
        <v>15</v>
      </c>
      <c r="N11" t="s">
        <v>7</v>
      </c>
    </row>
    <row r="12" spans="1:14" x14ac:dyDescent="0.35">
      <c r="A12" s="3">
        <v>46138</v>
      </c>
      <c r="B12" t="s">
        <v>4</v>
      </c>
      <c r="C12" s="1">
        <v>179000</v>
      </c>
      <c r="E12" t="s">
        <v>17</v>
      </c>
      <c r="F12" s="1">
        <v>206000</v>
      </c>
      <c r="G12" s="1">
        <v>210000</v>
      </c>
      <c r="H12" s="1">
        <v>281000</v>
      </c>
      <c r="I12" s="1">
        <v>179000</v>
      </c>
      <c r="J12" s="1">
        <v>364000</v>
      </c>
      <c r="K12" s="1">
        <v>196000</v>
      </c>
      <c r="L12" s="1">
        <v>174000</v>
      </c>
      <c r="M12" s="1">
        <v>195000</v>
      </c>
      <c r="N12" s="1">
        <v>1805000</v>
      </c>
    </row>
    <row r="13" spans="1:14" x14ac:dyDescent="0.35">
      <c r="A13" s="3">
        <v>46138</v>
      </c>
      <c r="B13" t="s">
        <v>5</v>
      </c>
      <c r="C13" s="1">
        <v>327000</v>
      </c>
    </row>
    <row r="14" spans="1:14" x14ac:dyDescent="0.35">
      <c r="A14" s="3">
        <v>46168</v>
      </c>
      <c r="B14" t="s">
        <v>3</v>
      </c>
      <c r="C14" s="1">
        <v>114000</v>
      </c>
    </row>
    <row r="15" spans="1:14" x14ac:dyDescent="0.35">
      <c r="A15" s="3">
        <v>46168</v>
      </c>
      <c r="B15" t="s">
        <v>4</v>
      </c>
      <c r="C15" s="1">
        <v>364000</v>
      </c>
      <c r="E15" s="4" t="s">
        <v>1</v>
      </c>
      <c r="F15" t="s">
        <v>5</v>
      </c>
    </row>
    <row r="16" spans="1:14" x14ac:dyDescent="0.35">
      <c r="A16" s="3">
        <v>46168</v>
      </c>
      <c r="B16" t="s">
        <v>5</v>
      </c>
      <c r="C16" s="1">
        <v>410000</v>
      </c>
    </row>
    <row r="17" spans="1:14" x14ac:dyDescent="0.35">
      <c r="A17" s="3">
        <v>46199</v>
      </c>
      <c r="B17" t="s">
        <v>3</v>
      </c>
      <c r="C17" s="1">
        <v>104000</v>
      </c>
      <c r="F17" s="4" t="s">
        <v>4</v>
      </c>
    </row>
    <row r="18" spans="1:14" x14ac:dyDescent="0.35">
      <c r="A18" s="3">
        <v>46199</v>
      </c>
      <c r="B18" t="s">
        <v>4</v>
      </c>
      <c r="C18" s="1">
        <v>196000</v>
      </c>
      <c r="F18" t="s">
        <v>8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7</v>
      </c>
    </row>
    <row r="19" spans="1:14" x14ac:dyDescent="0.35">
      <c r="A19" s="3">
        <v>46199</v>
      </c>
      <c r="B19" t="s">
        <v>5</v>
      </c>
      <c r="C19" s="1">
        <v>215000</v>
      </c>
      <c r="E19" t="s">
        <v>17</v>
      </c>
      <c r="F19" s="1">
        <v>116000</v>
      </c>
      <c r="G19" s="1">
        <v>118000</v>
      </c>
      <c r="H19" s="1">
        <v>195000</v>
      </c>
      <c r="I19" s="1">
        <v>327000</v>
      </c>
      <c r="J19" s="1">
        <v>410000</v>
      </c>
      <c r="K19" s="1">
        <v>215000</v>
      </c>
      <c r="L19" s="1">
        <v>138000</v>
      </c>
      <c r="M19" s="1">
        <v>319000</v>
      </c>
      <c r="N19" s="1">
        <v>1838000</v>
      </c>
    </row>
    <row r="20" spans="1:14" x14ac:dyDescent="0.35">
      <c r="A20" s="3">
        <v>46229</v>
      </c>
      <c r="B20" t="s">
        <v>3</v>
      </c>
      <c r="C20" s="1">
        <v>108000</v>
      </c>
    </row>
    <row r="21" spans="1:14" x14ac:dyDescent="0.35">
      <c r="A21" s="3">
        <v>46229</v>
      </c>
      <c r="B21" t="s">
        <v>4</v>
      </c>
      <c r="C21" s="1">
        <v>174000</v>
      </c>
    </row>
    <row r="22" spans="1:14" x14ac:dyDescent="0.35">
      <c r="A22" s="3">
        <v>46229</v>
      </c>
      <c r="B22" t="s">
        <v>5</v>
      </c>
      <c r="C22" s="1">
        <v>138000</v>
      </c>
      <c r="E22" s="4" t="s">
        <v>1</v>
      </c>
      <c r="F22" t="s">
        <v>16</v>
      </c>
    </row>
    <row r="23" spans="1:14" x14ac:dyDescent="0.35">
      <c r="A23" s="3">
        <v>46260</v>
      </c>
      <c r="B23" t="s">
        <v>3</v>
      </c>
      <c r="C23" s="1">
        <v>192000</v>
      </c>
    </row>
    <row r="24" spans="1:14" x14ac:dyDescent="0.35">
      <c r="A24" s="3">
        <v>46260</v>
      </c>
      <c r="B24" t="s">
        <v>4</v>
      </c>
      <c r="C24" s="1">
        <v>195000</v>
      </c>
      <c r="F24" s="4" t="s">
        <v>5</v>
      </c>
    </row>
    <row r="25" spans="1:14" x14ac:dyDescent="0.35">
      <c r="A25" s="3">
        <v>46260</v>
      </c>
      <c r="B25" t="s">
        <v>5</v>
      </c>
      <c r="C25" s="1">
        <v>319000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7</v>
      </c>
    </row>
    <row r="26" spans="1:14" x14ac:dyDescent="0.35">
      <c r="E26" t="s">
        <v>17</v>
      </c>
      <c r="F26" s="1">
        <v>426000</v>
      </c>
      <c r="G26" s="1">
        <v>430000</v>
      </c>
      <c r="H26" s="1">
        <v>604000</v>
      </c>
      <c r="I26" s="1">
        <v>596000</v>
      </c>
      <c r="J26" s="1">
        <v>888000</v>
      </c>
      <c r="K26" s="1">
        <v>515000</v>
      </c>
      <c r="L26" s="1">
        <v>420000</v>
      </c>
      <c r="M26" s="1">
        <v>706000</v>
      </c>
      <c r="N26" s="1">
        <v>4585000</v>
      </c>
    </row>
  </sheetData>
  <pageMargins left="0.75" right="0.75" top="1" bottom="1" header="0.5" footer="0.5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9767-B072-4E83-8F96-563E5BCD9191}">
  <dimension ref="A1:N26"/>
  <sheetViews>
    <sheetView showGridLines="0" workbookViewId="0">
      <pane ySplit="1" topLeftCell="A14" activePane="bottomLeft" state="frozen"/>
      <selection pane="bottomLeft" activeCell="D29" sqref="D29"/>
    </sheetView>
  </sheetViews>
  <sheetFormatPr defaultRowHeight="14.5" x14ac:dyDescent="0.35"/>
  <cols>
    <col min="1" max="1" width="12" customWidth="1"/>
    <col min="2" max="3" width="15" customWidth="1"/>
    <col min="5" max="5" width="7.26953125" bestFit="1" customWidth="1"/>
    <col min="6" max="6" width="11.26953125" bestFit="1" customWidth="1"/>
    <col min="7" max="13" width="7.36328125" bestFit="1" customWidth="1"/>
    <col min="14" max="14" width="10.7265625" bestFit="1" customWidth="1"/>
  </cols>
  <sheetData>
    <row r="1" spans="1:14" x14ac:dyDescent="0.35">
      <c r="A1" s="5" t="s">
        <v>0</v>
      </c>
      <c r="B1" s="5" t="s">
        <v>1</v>
      </c>
      <c r="C1" s="5" t="s">
        <v>2</v>
      </c>
      <c r="E1" s="4" t="s">
        <v>1</v>
      </c>
      <c r="F1" t="s">
        <v>3</v>
      </c>
    </row>
    <row r="2" spans="1:14" x14ac:dyDescent="0.35">
      <c r="A2" s="3">
        <v>46048</v>
      </c>
      <c r="B2" t="s">
        <v>3</v>
      </c>
      <c r="C2" s="1">
        <v>100000</v>
      </c>
    </row>
    <row r="3" spans="1:14" x14ac:dyDescent="0.35">
      <c r="A3" s="3">
        <v>46048</v>
      </c>
      <c r="B3" t="s">
        <v>4</v>
      </c>
      <c r="C3" s="1">
        <v>200000</v>
      </c>
      <c r="F3" s="4" t="s">
        <v>18</v>
      </c>
    </row>
    <row r="4" spans="1:14" x14ac:dyDescent="0.35">
      <c r="A4" s="3">
        <v>46048</v>
      </c>
      <c r="B4" t="s">
        <v>5</v>
      </c>
      <c r="C4" s="1">
        <v>100000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7</v>
      </c>
    </row>
    <row r="5" spans="1:14" x14ac:dyDescent="0.35">
      <c r="A5" s="3">
        <v>46079</v>
      </c>
      <c r="B5" t="s">
        <v>3</v>
      </c>
      <c r="C5" s="1">
        <v>100000</v>
      </c>
      <c r="E5" t="s">
        <v>17</v>
      </c>
      <c r="F5" s="1">
        <v>100000</v>
      </c>
      <c r="G5" s="1">
        <v>100000</v>
      </c>
      <c r="H5" s="1">
        <v>120000</v>
      </c>
      <c r="I5" s="1">
        <v>100000</v>
      </c>
      <c r="J5" s="1">
        <v>150000</v>
      </c>
      <c r="K5" s="1">
        <v>150000</v>
      </c>
      <c r="L5" s="1">
        <v>150000</v>
      </c>
      <c r="M5" s="1">
        <v>200000</v>
      </c>
      <c r="N5" s="1">
        <v>1070000</v>
      </c>
    </row>
    <row r="6" spans="1:14" x14ac:dyDescent="0.35">
      <c r="A6" s="3">
        <v>46079</v>
      </c>
      <c r="B6" t="s">
        <v>4</v>
      </c>
      <c r="C6" s="1">
        <v>200000</v>
      </c>
    </row>
    <row r="7" spans="1:14" x14ac:dyDescent="0.35">
      <c r="A7" s="3">
        <v>46079</v>
      </c>
      <c r="B7" t="s">
        <v>5</v>
      </c>
      <c r="C7" s="1">
        <v>100000</v>
      </c>
    </row>
    <row r="8" spans="1:14" x14ac:dyDescent="0.35">
      <c r="A8" s="3">
        <v>46107</v>
      </c>
      <c r="B8" t="s">
        <v>3</v>
      </c>
      <c r="C8" s="1">
        <v>120000</v>
      </c>
      <c r="E8" s="4" t="s">
        <v>1</v>
      </c>
      <c r="F8" t="s">
        <v>4</v>
      </c>
    </row>
    <row r="9" spans="1:14" x14ac:dyDescent="0.35">
      <c r="A9" s="3">
        <v>46107</v>
      </c>
      <c r="B9" t="s">
        <v>4</v>
      </c>
      <c r="C9" s="1">
        <v>280000</v>
      </c>
    </row>
    <row r="10" spans="1:14" x14ac:dyDescent="0.35">
      <c r="A10" s="3">
        <v>46107</v>
      </c>
      <c r="B10" t="s">
        <v>5</v>
      </c>
      <c r="C10" s="1">
        <v>200000</v>
      </c>
      <c r="F10" s="4" t="s">
        <v>3</v>
      </c>
    </row>
    <row r="11" spans="1:14" x14ac:dyDescent="0.35">
      <c r="A11" s="3">
        <v>46138</v>
      </c>
      <c r="B11" t="s">
        <v>3</v>
      </c>
      <c r="C11" s="1">
        <v>100000</v>
      </c>
      <c r="F11" s="2" t="s">
        <v>8</v>
      </c>
      <c r="G11" s="2" t="s">
        <v>9</v>
      </c>
      <c r="H11" s="2" t="s">
        <v>10</v>
      </c>
      <c r="I11" s="2" t="s">
        <v>11</v>
      </c>
      <c r="J11" s="2" t="s">
        <v>12</v>
      </c>
      <c r="K11" s="2" t="s">
        <v>13</v>
      </c>
      <c r="L11" s="2" t="s">
        <v>14</v>
      </c>
      <c r="M11" s="2" t="s">
        <v>15</v>
      </c>
      <c r="N11" t="s">
        <v>7</v>
      </c>
    </row>
    <row r="12" spans="1:14" x14ac:dyDescent="0.35">
      <c r="A12" s="3">
        <v>46138</v>
      </c>
      <c r="B12" t="s">
        <v>4</v>
      </c>
      <c r="C12" s="1">
        <v>180000</v>
      </c>
      <c r="E12" t="s">
        <v>17</v>
      </c>
      <c r="F12" s="1">
        <v>200000</v>
      </c>
      <c r="G12" s="1">
        <v>200000</v>
      </c>
      <c r="H12" s="1">
        <v>280000</v>
      </c>
      <c r="I12" s="1">
        <v>180000</v>
      </c>
      <c r="J12" s="1">
        <v>200000</v>
      </c>
      <c r="K12" s="1">
        <v>150000</v>
      </c>
      <c r="L12" s="1">
        <v>200000</v>
      </c>
      <c r="M12" s="1">
        <v>200000</v>
      </c>
      <c r="N12" s="1">
        <v>1610000</v>
      </c>
    </row>
    <row r="13" spans="1:14" x14ac:dyDescent="0.35">
      <c r="A13" s="3">
        <v>46138</v>
      </c>
      <c r="B13" t="s">
        <v>5</v>
      </c>
      <c r="C13" s="1">
        <v>200000</v>
      </c>
    </row>
    <row r="14" spans="1:14" x14ac:dyDescent="0.35">
      <c r="A14" s="3">
        <v>46168</v>
      </c>
      <c r="B14" t="s">
        <v>3</v>
      </c>
      <c r="C14" s="1">
        <v>150000</v>
      </c>
    </row>
    <row r="15" spans="1:14" x14ac:dyDescent="0.35">
      <c r="A15" s="3">
        <v>46168</v>
      </c>
      <c r="B15" t="s">
        <v>4</v>
      </c>
      <c r="C15" s="1">
        <v>200000</v>
      </c>
      <c r="E15" s="4" t="s">
        <v>1</v>
      </c>
      <c r="F15" t="s">
        <v>5</v>
      </c>
    </row>
    <row r="16" spans="1:14" x14ac:dyDescent="0.35">
      <c r="A16" s="3">
        <v>46168</v>
      </c>
      <c r="B16" t="s">
        <v>5</v>
      </c>
      <c r="C16" s="1">
        <v>200000</v>
      </c>
    </row>
    <row r="17" spans="1:14" x14ac:dyDescent="0.35">
      <c r="A17" s="3">
        <v>46199</v>
      </c>
      <c r="B17" t="s">
        <v>3</v>
      </c>
      <c r="C17" s="1">
        <v>150000</v>
      </c>
      <c r="F17" s="4" t="s">
        <v>4</v>
      </c>
    </row>
    <row r="18" spans="1:14" x14ac:dyDescent="0.35">
      <c r="A18" s="3">
        <v>46199</v>
      </c>
      <c r="B18" t="s">
        <v>4</v>
      </c>
      <c r="C18" s="1">
        <v>150000</v>
      </c>
      <c r="F18" t="s">
        <v>8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7</v>
      </c>
    </row>
    <row r="19" spans="1:14" x14ac:dyDescent="0.35">
      <c r="A19" s="3">
        <v>46199</v>
      </c>
      <c r="B19" t="s">
        <v>5</v>
      </c>
      <c r="C19" s="1">
        <v>200000</v>
      </c>
      <c r="E19" t="s">
        <v>17</v>
      </c>
      <c r="F19" s="1">
        <v>100000</v>
      </c>
      <c r="G19" s="1">
        <v>100000</v>
      </c>
      <c r="H19" s="1">
        <v>200000</v>
      </c>
      <c r="I19" s="1">
        <v>200000</v>
      </c>
      <c r="J19" s="1">
        <v>200000</v>
      </c>
      <c r="K19" s="1">
        <v>200000</v>
      </c>
      <c r="L19" s="1">
        <v>150000</v>
      </c>
      <c r="M19" s="1">
        <v>200000</v>
      </c>
      <c r="N19" s="1">
        <v>1350000</v>
      </c>
    </row>
    <row r="20" spans="1:14" x14ac:dyDescent="0.35">
      <c r="A20" s="3">
        <v>46229</v>
      </c>
      <c r="B20" t="s">
        <v>3</v>
      </c>
      <c r="C20" s="1">
        <v>150000</v>
      </c>
    </row>
    <row r="21" spans="1:14" x14ac:dyDescent="0.35">
      <c r="A21" s="3">
        <v>46229</v>
      </c>
      <c r="B21" t="s">
        <v>4</v>
      </c>
      <c r="C21" s="1">
        <v>200000</v>
      </c>
    </row>
    <row r="22" spans="1:14" x14ac:dyDescent="0.35">
      <c r="A22" s="3">
        <v>46229</v>
      </c>
      <c r="B22" t="s">
        <v>5</v>
      </c>
      <c r="C22" s="1">
        <v>150000</v>
      </c>
      <c r="E22" s="4" t="s">
        <v>1</v>
      </c>
      <c r="F22" t="s">
        <v>16</v>
      </c>
    </row>
    <row r="23" spans="1:14" x14ac:dyDescent="0.35">
      <c r="A23" s="3">
        <v>46260</v>
      </c>
      <c r="B23" t="s">
        <v>3</v>
      </c>
      <c r="C23" s="1">
        <v>200000</v>
      </c>
    </row>
    <row r="24" spans="1:14" x14ac:dyDescent="0.35">
      <c r="A24" s="3">
        <v>46260</v>
      </c>
      <c r="B24" t="s">
        <v>4</v>
      </c>
      <c r="C24" s="1">
        <v>200000</v>
      </c>
      <c r="F24" s="4" t="s">
        <v>5</v>
      </c>
    </row>
    <row r="25" spans="1:14" x14ac:dyDescent="0.35">
      <c r="A25" s="3">
        <v>46260</v>
      </c>
      <c r="B25" t="s">
        <v>5</v>
      </c>
      <c r="C25" s="1">
        <v>200000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7</v>
      </c>
    </row>
    <row r="26" spans="1:14" x14ac:dyDescent="0.35">
      <c r="E26" t="s">
        <v>17</v>
      </c>
      <c r="F26" s="1">
        <v>400000</v>
      </c>
      <c r="G26" s="1">
        <v>400000</v>
      </c>
      <c r="H26" s="1">
        <v>600000</v>
      </c>
      <c r="I26" s="1">
        <v>480000</v>
      </c>
      <c r="J26" s="1">
        <v>550000</v>
      </c>
      <c r="K26" s="1">
        <v>500000</v>
      </c>
      <c r="L26" s="1">
        <v>500000</v>
      </c>
      <c r="M26" s="1">
        <v>600000</v>
      </c>
      <c r="N26" s="1">
        <v>4030000</v>
      </c>
    </row>
  </sheetData>
  <pageMargins left="0.75" right="0.75" top="1" bottom="1" header="0.5" footer="0.5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1CF6-9E37-4B03-8D5B-D7BA53F6348F}">
  <dimension ref="B1:Z17"/>
  <sheetViews>
    <sheetView workbookViewId="0">
      <selection activeCell="P20" sqref="P20"/>
    </sheetView>
  </sheetViews>
  <sheetFormatPr defaultRowHeight="14.5" x14ac:dyDescent="0.35"/>
  <sheetData>
    <row r="1" spans="2:26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  <c r="W1">
        <v>9</v>
      </c>
      <c r="X1">
        <v>10</v>
      </c>
      <c r="Y1">
        <v>11</v>
      </c>
      <c r="Z1">
        <v>12</v>
      </c>
    </row>
    <row r="2" spans="2:26" x14ac:dyDescent="0.35">
      <c r="B2" s="16">
        <f>SUM(Details!C$6:$C$6)/SUM(Details!O$6:$O$6)</f>
        <v>1.25</v>
      </c>
      <c r="C2" s="16">
        <f>SUM(Details!$C$6:D$6)/SUM(Details!$O$6:P$6)</f>
        <v>0.98091603053435117</v>
      </c>
      <c r="D2" s="16">
        <f>SUM(Details!$C$6:E$6)/SUM(Details!$O$6:Q$6)</f>
        <v>0.96368038740920092</v>
      </c>
      <c r="E2" s="16">
        <f>SUM(Details!$C$6:F$6)/SUM(Details!$O$6:R$6)</f>
        <v>0.92411467116357504</v>
      </c>
      <c r="F2" s="16">
        <f>SUM(Details!$C$6:G$6)/SUM(Details!$O$6:S$6)</f>
        <v>0.91766268260292161</v>
      </c>
      <c r="G2" s="16">
        <f>SUM(Details!$C$6:H$6)/SUM(Details!$O$6:T$6)</f>
        <v>0.93209200438116102</v>
      </c>
      <c r="H2" s="16">
        <f>SUM(Details!$C$6:I$6)/SUM(Details!$O$6:U$6)</f>
        <v>0.91948764867337607</v>
      </c>
      <c r="I2" s="16">
        <f>SUM(Details!$C$6:J$6)/SUM(Details!$O$6:V$6)</f>
        <v>0.93615323224261771</v>
      </c>
      <c r="J2" s="16"/>
      <c r="K2" s="16"/>
      <c r="L2" s="16"/>
      <c r="M2" s="16"/>
      <c r="N2" s="16"/>
      <c r="O2" s="16" t="b">
        <f>Details!AM$6=B2</f>
        <v>1</v>
      </c>
      <c r="P2" s="16" t="b">
        <f>Details!AN$6=C2</f>
        <v>1</v>
      </c>
      <c r="Q2" s="16" t="b">
        <f>Details!AO$6=D2</f>
        <v>1</v>
      </c>
      <c r="R2" s="16" t="b">
        <f>Details!AP$6=E2</f>
        <v>1</v>
      </c>
      <c r="S2" s="16" t="b">
        <f>Details!AQ$6=F2</f>
        <v>1</v>
      </c>
      <c r="T2" s="16" t="b">
        <f>Details!AR$6=G2</f>
        <v>1</v>
      </c>
      <c r="U2" s="16" t="b">
        <f>Details!AS$6=H2</f>
        <v>1</v>
      </c>
      <c r="V2" s="16" t="b">
        <f>Details!AT$6=I2</f>
        <v>1</v>
      </c>
    </row>
    <row r="3" spans="2:26" x14ac:dyDescent="0.35">
      <c r="B3" s="16">
        <f>SUM(Details!C$7:$C$7)/SUM(Details!O$7:$O$7)</f>
        <v>1.0315789473684212</v>
      </c>
      <c r="C3" s="16">
        <f>SUM(Details!$C$7:D$7)/SUM(Details!$O$7:P$7)</f>
        <v>0.87659574468085111</v>
      </c>
      <c r="D3" s="16">
        <f>SUM(Details!$C$7:E$7)/SUM(Details!$O$7:Q$7)</f>
        <v>0.87027027027027026</v>
      </c>
      <c r="E3" s="16">
        <f>SUM(Details!$C$7:F$7)/SUM(Details!$O$7:R$7)</f>
        <v>0.82037037037037042</v>
      </c>
      <c r="F3" s="16">
        <f>SUM(Details!$C$7:G$7)/SUM(Details!$O$7:S$7)</f>
        <v>0.83582089552238803</v>
      </c>
      <c r="G3" s="16">
        <f>SUM(Details!$C$7:H$7)/SUM(Details!$O$7:T$7)</f>
        <v>0.83902439024390241</v>
      </c>
      <c r="H3" s="16">
        <f>SUM(Details!$C$7:I$7)/SUM(Details!$O$7:U$7)</f>
        <v>0.84583333333333333</v>
      </c>
      <c r="I3" s="16">
        <f>SUM(Details!$C$7:J$7)/SUM(Details!$O$7:V$7)</f>
        <v>0.86880733944954125</v>
      </c>
      <c r="O3" s="16" t="b">
        <f>Details!AM$7=B3</f>
        <v>1</v>
      </c>
      <c r="P3" s="16" t="b">
        <f>Details!AN$7=C3</f>
        <v>1</v>
      </c>
      <c r="Q3" s="16" t="b">
        <f>Details!AO$7=D3</f>
        <v>1</v>
      </c>
      <c r="R3" s="16" t="b">
        <f>Details!AP$7=E3</f>
        <v>1</v>
      </c>
      <c r="S3" s="16" t="b">
        <f>Details!AQ$7=F3</f>
        <v>1</v>
      </c>
      <c r="T3" s="16" t="b">
        <f>Details!AR$7=G3</f>
        <v>1</v>
      </c>
      <c r="U3" s="16" t="b">
        <f>Details!AS$7=H3</f>
        <v>1</v>
      </c>
      <c r="V3" s="16" t="b">
        <f>Details!AT$7=I3</f>
        <v>1</v>
      </c>
    </row>
    <row r="4" spans="2:26" x14ac:dyDescent="0.35">
      <c r="B4" s="16">
        <f>SUM(Details!C$8:$C$8)/SUM(Details!O$8:$O$8)</f>
        <v>1.0357142857142858</v>
      </c>
      <c r="C4" s="16">
        <f>SUM(Details!$C$8:D$8)/SUM(Details!$O$8:P$8)</f>
        <v>0.97741935483870968</v>
      </c>
      <c r="D4" s="16">
        <f>SUM(Details!$C$8:E$8)/SUM(Details!$O$8:Q$8)</f>
        <v>0.95</v>
      </c>
      <c r="E4" s="16">
        <f>SUM(Details!$C$8:F$8)/SUM(Details!$O$8:R$8)</f>
        <v>0.96470588235294119</v>
      </c>
      <c r="F4" s="16">
        <f>SUM(Details!$C$8:G$8)/SUM(Details!$O$8:S$8)</f>
        <v>0.95930232558139539</v>
      </c>
      <c r="G4" s="16">
        <f>SUM(Details!$C$8:H$8)/SUM(Details!$O$8:T$8)</f>
        <v>0.95849056603773586</v>
      </c>
      <c r="H4" s="16">
        <f>SUM(Details!$C$8:I$8)/SUM(Details!$O$8:U$8)</f>
        <v>0.95238095238095233</v>
      </c>
      <c r="I4" s="16">
        <f>SUM(Details!$C$8:J$8)/SUM(Details!$O$8:V$8)</f>
        <v>0.95753424657534247</v>
      </c>
      <c r="O4" s="16" t="b">
        <f>Details!AM$8=B4</f>
        <v>1</v>
      </c>
      <c r="P4" s="16" t="b">
        <f>Details!AN$8=C4</f>
        <v>1</v>
      </c>
      <c r="Q4" s="16" t="b">
        <f>Details!AO$8=D4</f>
        <v>1</v>
      </c>
      <c r="R4" s="16" t="b">
        <f>Details!AP$8=E4</f>
        <v>1</v>
      </c>
      <c r="S4" s="16" t="b">
        <f>Details!AQ$8=F4</f>
        <v>1</v>
      </c>
      <c r="T4" s="16" t="b">
        <f>Details!AR$8=G4</f>
        <v>1</v>
      </c>
      <c r="U4" s="16" t="b">
        <f>Details!AS$8=H4</f>
        <v>1</v>
      </c>
      <c r="V4" s="16" t="b">
        <f>Details!AT$8=I4</f>
        <v>1</v>
      </c>
    </row>
    <row r="5" spans="2:26" x14ac:dyDescent="0.35">
      <c r="B5" s="16">
        <f>SUM(Details!C$9:$C$9)/SUM(Details!O$9:$O$9)</f>
        <v>1.0985074626865672</v>
      </c>
      <c r="C5" s="16">
        <f>SUM(Details!$C$9:D$9)/SUM(Details!$O$9:P$9)</f>
        <v>0.94919454770755884</v>
      </c>
      <c r="D5" s="16">
        <f>SUM(Details!$C$9:E$9)/SUM(Details!$O$9:Q$9)</f>
        <v>0.93141075604053003</v>
      </c>
      <c r="E5" s="16">
        <f>SUM(Details!$C$9:F$9)/SUM(Details!$O$9:R$9)</f>
        <v>0.90843905129619418</v>
      </c>
      <c r="F5" s="16">
        <f>SUM(Details!$C$9:G$9)/SUM(Details!$O$9:S$9)</f>
        <v>0.90932982917214189</v>
      </c>
      <c r="G5" s="16">
        <f>SUM(Details!$C$9:H$9)/SUM(Details!$O$9:T$9)</f>
        <v>0.91478696741854637</v>
      </c>
      <c r="H5" s="16">
        <f>SUM(Details!$C$9:I$9)/SUM(Details!$O$9:U$9)</f>
        <v>0.91065499547238149</v>
      </c>
      <c r="I5" s="16">
        <f>SUM(Details!$C$9:J$9)/SUM(Details!$O$9:V$9)</f>
        <v>0.92505916381803843</v>
      </c>
      <c r="O5" s="16" t="b">
        <f>Details!AM$9=B5</f>
        <v>1</v>
      </c>
      <c r="P5" s="16" t="b">
        <f>Details!AN$9=C5</f>
        <v>1</v>
      </c>
      <c r="Q5" s="16" t="b">
        <f>Details!AO$9=D5</f>
        <v>1</v>
      </c>
      <c r="R5" s="16" t="b">
        <f>Details!AP$9=E5</f>
        <v>1</v>
      </c>
      <c r="S5" s="16" t="b">
        <f>Details!AQ$9=F5</f>
        <v>1</v>
      </c>
      <c r="T5" s="16" t="b">
        <f>Details!AR$9=G5</f>
        <v>1</v>
      </c>
      <c r="U5" s="16" t="b">
        <f>Details!AS$9=H5</f>
        <v>1</v>
      </c>
      <c r="V5" s="16" t="b">
        <f>Details!AT$9=I5</f>
        <v>1</v>
      </c>
    </row>
    <row r="6" spans="2:26" x14ac:dyDescent="0.35">
      <c r="B6" s="16"/>
      <c r="C6" s="16"/>
      <c r="D6" s="16"/>
      <c r="E6" s="16"/>
      <c r="F6" s="16"/>
      <c r="G6" s="16"/>
      <c r="H6" s="16"/>
    </row>
    <row r="8" spans="2:26" x14ac:dyDescent="0.35">
      <c r="B8" s="16">
        <f>SUM(Details!$C$16:C$16)/SUM(Details!$O$16:O$16)</f>
        <v>0.94833333333333336</v>
      </c>
      <c r="C8" s="16">
        <f>SUM(Details!$C$16:D$16)/SUM(Details!$O$16:P$16)</f>
        <v>0.94079999999999997</v>
      </c>
      <c r="D8" s="16">
        <f>SUM(Details!$C$16:E$16)/SUM(Details!$O$16:Q$16)</f>
        <v>0.96394736842105266</v>
      </c>
      <c r="E8" s="16">
        <f>SUM(Details!$C$16:F$16)/SUM(Details!$O$16:R$16)</f>
        <v>0.96</v>
      </c>
      <c r="F8" s="16">
        <f>SUM(Details!$C$16:G$16)/SUM(Details!$O$16:S$16)</f>
        <v>0.97030303030303033</v>
      </c>
      <c r="G8" s="16">
        <f>SUM(Details!$C$16:H$16)/SUM(Details!$O$16:T$16)</f>
        <v>0.96439024390243899</v>
      </c>
      <c r="H8" s="16">
        <f>SUM(Details!$C$16:I$16)/SUM(Details!$O$16:U$16)</f>
        <v>0.93400000000000005</v>
      </c>
      <c r="I8" s="16">
        <f>SUM(Details!$C$16:J$16)/SUM(Details!$O$16:V$16)</f>
        <v>0.94275862068965521</v>
      </c>
      <c r="O8" s="16" t="b">
        <f>Details!AM$16=B8</f>
        <v>1</v>
      </c>
      <c r="P8" s="16" t="b">
        <f>Details!AN$16=C8</f>
        <v>1</v>
      </c>
      <c r="Q8" s="16" t="b">
        <f>Details!AO$16=D8</f>
        <v>1</v>
      </c>
      <c r="R8" s="16" t="b">
        <f>Details!AP$16=E8</f>
        <v>1</v>
      </c>
      <c r="S8" s="16" t="b">
        <f>Details!AQ$16=F8</f>
        <v>1</v>
      </c>
      <c r="T8" s="16" t="b">
        <f>Details!AR$16=G8</f>
        <v>1</v>
      </c>
      <c r="U8" s="16" t="b">
        <f>Details!AS$16=H8</f>
        <v>1</v>
      </c>
      <c r="V8" s="16" t="b">
        <f>Details!AT$16=I8</f>
        <v>1</v>
      </c>
    </row>
    <row r="9" spans="2:26" x14ac:dyDescent="0.35">
      <c r="B9" s="16">
        <f>SUM(Details!$C$17:C$17)/SUM(Details!$O$17:O$17)</f>
        <v>0.91100000000000003</v>
      </c>
      <c r="C9" s="16">
        <f>SUM(Details!$C$17:D$17)/SUM(Details!$O$17:P$17)</f>
        <v>0.87545454545454549</v>
      </c>
      <c r="D9" s="16">
        <f>SUM(Details!$C$17:E$17)/SUM(Details!$O$17:Q$17)</f>
        <v>0.90696969696969698</v>
      </c>
      <c r="E9" s="16">
        <f>SUM(Details!$C$17:F$17)/SUM(Details!$O$17:R$17)</f>
        <v>0.9151111111111111</v>
      </c>
      <c r="F9" s="16">
        <f>SUM(Details!$C$17:G$17)/SUM(Details!$O$17:S$17)</f>
        <v>0.91754385964912277</v>
      </c>
      <c r="G9" s="16">
        <f>SUM(Details!$C$17:H$17)/SUM(Details!$O$17:T$17)</f>
        <v>0.92869565217391303</v>
      </c>
      <c r="H9" s="16">
        <f>SUM(Details!$C$17:I$17)/SUM(Details!$O$17:U$17)</f>
        <v>0.93506172839506174</v>
      </c>
      <c r="I9" s="16">
        <f>SUM(Details!$C$17:J$17)/SUM(Details!$O$17:V$17)</f>
        <v>0.94946236559139785</v>
      </c>
      <c r="O9" s="16" t="b">
        <f>Details!AM$17=B9</f>
        <v>1</v>
      </c>
      <c r="P9" s="16" t="b">
        <f>Details!AN$17=C9</f>
        <v>1</v>
      </c>
      <c r="Q9" s="16" t="b">
        <f>Details!AO$17=D9</f>
        <v>1</v>
      </c>
      <c r="R9" s="16" t="b">
        <f>Details!AP$17=E9</f>
        <v>1</v>
      </c>
      <c r="S9" s="16" t="b">
        <f>Details!AQ$17=F9</f>
        <v>1</v>
      </c>
      <c r="T9" s="16" t="b">
        <f>Details!AR$17=G9</f>
        <v>1</v>
      </c>
      <c r="U9" s="16" t="b">
        <f>Details!AS$17=H9</f>
        <v>1</v>
      </c>
      <c r="V9" s="16" t="b">
        <f>Details!AT$17=I9</f>
        <v>1</v>
      </c>
    </row>
    <row r="10" spans="2:26" x14ac:dyDescent="0.35">
      <c r="B10" s="16">
        <f>SUM(Details!$C$18:C$18)/SUM(Details!$O$18:O$18)</f>
        <v>1.0038461538461538</v>
      </c>
      <c r="C10" s="16">
        <f>SUM(Details!$C$18:D$18)/SUM(Details!$O$18:P$18)</f>
        <v>1.0159259259259259</v>
      </c>
      <c r="D10" s="16">
        <f>SUM(Details!$C$18:E$18)/SUM(Details!$O$18:Q$18)</f>
        <v>1.0139534883720931</v>
      </c>
      <c r="E10" s="16">
        <f>SUM(Details!$C$18:F$18)/SUM(Details!$O$18:R$18)</f>
        <v>1.021186440677966</v>
      </c>
      <c r="F10" s="16">
        <f>SUM(Details!$C$18:G$18)/SUM(Details!$O$18:S$18)</f>
        <v>1.0266216216216215</v>
      </c>
      <c r="G10" s="16">
        <f>SUM(Details!$C$18:H$18)/SUM(Details!$O$18:T$18)</f>
        <v>1.0011702127659574</v>
      </c>
      <c r="H10" s="16">
        <f>SUM(Details!$C$18:I$18)/SUM(Details!$O$18:U$18)</f>
        <v>0.99142857142857144</v>
      </c>
      <c r="I10" s="16">
        <f>SUM(Details!$C$18:J$18)/SUM(Details!$O$18:V$18)</f>
        <v>0.99730769230769234</v>
      </c>
      <c r="O10" s="16" t="b">
        <f>Details!AM$18=B10</f>
        <v>1</v>
      </c>
      <c r="P10" s="16" t="b">
        <f>Details!AN$18=C10</f>
        <v>1</v>
      </c>
      <c r="Q10" s="16" t="b">
        <f>Details!AO$18=D10</f>
        <v>1</v>
      </c>
      <c r="R10" s="16" t="b">
        <f>Details!AP$18=E10</f>
        <v>1</v>
      </c>
      <c r="S10" s="16" t="b">
        <f>Details!AQ$18=F10</f>
        <v>1</v>
      </c>
      <c r="T10" s="16" t="b">
        <f>Details!AR$18=G10</f>
        <v>1</v>
      </c>
      <c r="U10" s="16" t="b">
        <f>Details!AS$18=H10</f>
        <v>1</v>
      </c>
      <c r="V10" s="16" t="b">
        <f>Details!AT$18=I10</f>
        <v>1</v>
      </c>
    </row>
    <row r="11" spans="2:26" x14ac:dyDescent="0.35">
      <c r="B11" s="16">
        <f>SUM(Details!$C$19:C$19)/SUM(Details!$O$19:O$19)</f>
        <v>0.9582857142857143</v>
      </c>
      <c r="C11" s="16">
        <f>SUM(Details!$C$19:D$19)/SUM(Details!$O$19:P$19)</f>
        <v>0.94878378378378381</v>
      </c>
      <c r="D11" s="16">
        <f>SUM(Details!$C$19:E$19)/SUM(Details!$O$19:Q$19)</f>
        <v>0.96631578947368424</v>
      </c>
      <c r="E11" s="16">
        <f>SUM(Details!$C$19:F$19)/SUM(Details!$O$19:R$19)</f>
        <v>0.97012738853503189</v>
      </c>
      <c r="F11" s="16">
        <f>SUM(Details!$C$19:G$19)/SUM(Details!$O$19:S$19)</f>
        <v>0.97619289340101523</v>
      </c>
      <c r="G11" s="16">
        <f>SUM(Details!$C$19:H$19)/SUM(Details!$O$19:T$19)</f>
        <v>0.96844897959183673</v>
      </c>
      <c r="H11" s="16">
        <f>SUM(Details!$C$19:I$19)/SUM(Details!$O$19:U$19)</f>
        <v>0.95624573378839595</v>
      </c>
      <c r="I11" s="16">
        <f>SUM(Details!$C$19:J$19)/SUM(Details!$O$19:V$19)</f>
        <v>0.96551622418879057</v>
      </c>
      <c r="O11" s="16" t="b">
        <f>Details!AM$19=B11</f>
        <v>1</v>
      </c>
      <c r="P11" s="16" t="b">
        <f>Details!AN$19=C11</f>
        <v>1</v>
      </c>
      <c r="Q11" s="16" t="b">
        <f>Details!AO$19=D11</f>
        <v>1</v>
      </c>
      <c r="R11" s="16" t="b">
        <f>Details!AP$19=E11</f>
        <v>1</v>
      </c>
      <c r="S11" s="16" t="b">
        <f>Details!AQ$19=F11</f>
        <v>1</v>
      </c>
      <c r="T11" s="16" t="b">
        <f>Details!AR$19=G11</f>
        <v>1</v>
      </c>
      <c r="U11" s="16" t="b">
        <f>Details!AS$19=H11</f>
        <v>1</v>
      </c>
      <c r="V11" s="16" t="b">
        <f>Details!AT$19=I11</f>
        <v>1</v>
      </c>
    </row>
    <row r="13" spans="2:26" x14ac:dyDescent="0.35">
      <c r="B13" s="16"/>
      <c r="C13" s="16"/>
      <c r="D13" s="16"/>
      <c r="E13" s="16"/>
      <c r="F13" s="16"/>
      <c r="G13" s="16"/>
      <c r="H13" s="16"/>
    </row>
    <row r="14" spans="2:26" x14ac:dyDescent="0.35">
      <c r="B14" s="16">
        <f>SUM(Details!$C$26:C$26)/SUM(Details!$O$26:O$26)</f>
        <v>1.04</v>
      </c>
      <c r="C14" s="16">
        <f>SUM(Details!$C$26:D$26)/SUM(Details!$O$26:P$26)</f>
        <v>1.03</v>
      </c>
      <c r="D14" s="16">
        <f>SUM(Details!$C$26:E$26)/SUM(Details!$O$26:Q$26)</f>
        <v>1.04375</v>
      </c>
      <c r="E14" s="16">
        <f>SUM(Details!$C$26:F$26)/SUM(Details!$O$26:R$26)</f>
        <v>1.0095238095238095</v>
      </c>
      <c r="F14" s="16">
        <f>SUM(Details!$C$26:G$26)/SUM(Details!$O$26:S$26)</f>
        <v>0.94385964912280707</v>
      </c>
      <c r="G14" s="16">
        <f>SUM(Details!$C$26:H$26)/SUM(Details!$O$26:T$26)</f>
        <v>0.89166666666666672</v>
      </c>
      <c r="H14" s="16">
        <f>SUM(Details!$C$26:I$26)/SUM(Details!$O$26:U$26)</f>
        <v>0.86206896551724133</v>
      </c>
      <c r="I14" s="16">
        <f>SUM(Details!$C$26:J$26)/SUM(Details!$O$26:V$26)</f>
        <v>0.88037383177570094</v>
      </c>
      <c r="O14" s="16" t="b">
        <f>Details!AM$26=B14</f>
        <v>1</v>
      </c>
      <c r="P14" s="16" t="b">
        <f>Details!AN$26=C14</f>
        <v>1</v>
      </c>
      <c r="Q14" s="16" t="b">
        <f>Details!AO$26=D14</f>
        <v>1</v>
      </c>
      <c r="R14" s="16" t="b">
        <f>Details!AP$26=E14</f>
        <v>1</v>
      </c>
      <c r="S14" s="16" t="b">
        <f>Details!AQ$26=F14</f>
        <v>1</v>
      </c>
      <c r="T14" s="16" t="b">
        <f>Details!AR$26=G14</f>
        <v>1</v>
      </c>
      <c r="U14" s="16" t="b">
        <f>Details!AS$26=H14</f>
        <v>1</v>
      </c>
      <c r="V14" s="16" t="b">
        <f>Details!AT$26=I14</f>
        <v>1</v>
      </c>
    </row>
    <row r="15" spans="2:26" x14ac:dyDescent="0.35">
      <c r="B15" s="16">
        <f>SUM(Details!$C$27:C$27)/SUM(Details!$O$27:O$27)</f>
        <v>1.03</v>
      </c>
      <c r="C15" s="16">
        <f>SUM(Details!$C$27:D$27)/SUM(Details!$O$27:P$27)</f>
        <v>1.04</v>
      </c>
      <c r="D15" s="16">
        <f>SUM(Details!$C$27:E$27)/SUM(Details!$O$27:Q$27)</f>
        <v>1.0249999999999999</v>
      </c>
      <c r="E15" s="16">
        <f>SUM(Details!$C$27:F$27)/SUM(Details!$O$27:R$27)</f>
        <v>1.0186046511627906</v>
      </c>
      <c r="F15" s="16">
        <f>SUM(Details!$C$27:G$27)/SUM(Details!$O$27:S$27)</f>
        <v>1.1698113207547169</v>
      </c>
      <c r="G15" s="16">
        <f>SUM(Details!$C$27:H$27)/SUM(Details!$O$27:T$27)</f>
        <v>1.1867768595041321</v>
      </c>
      <c r="H15" s="16">
        <f>SUM(Details!$C$27:I$27)/SUM(Details!$O$27:U$27)</f>
        <v>1.1418439716312057</v>
      </c>
      <c r="I15" s="16">
        <f>SUM(Details!$C$27:J$27)/SUM(Details!$O$27:V$27)</f>
        <v>1.1211180124223603</v>
      </c>
      <c r="O15" s="16" t="b">
        <f>Details!AM$27=B15</f>
        <v>1</v>
      </c>
      <c r="P15" s="16" t="b">
        <f>Details!AN$27=C15</f>
        <v>1</v>
      </c>
      <c r="Q15" s="16" t="b">
        <f>Details!AO$27=D15</f>
        <v>1</v>
      </c>
      <c r="R15" s="16" t="b">
        <f>Details!AP$27=E15</f>
        <v>1</v>
      </c>
      <c r="S15" s="16" t="b">
        <f>Details!AQ$27=F15</f>
        <v>1</v>
      </c>
      <c r="T15" s="16" t="b">
        <f>Details!AR$27=G15</f>
        <v>1</v>
      </c>
      <c r="U15" s="16" t="b">
        <f>Details!AS$27=H15</f>
        <v>1</v>
      </c>
      <c r="V15" s="16" t="b">
        <f>Details!AT$27=I15</f>
        <v>1</v>
      </c>
    </row>
    <row r="16" spans="2:26" x14ac:dyDescent="0.35">
      <c r="B16" s="16">
        <f>SUM(Details!$C$28:C$28)/SUM(Details!$O$28:O$28)</f>
        <v>1.1599999999999999</v>
      </c>
      <c r="C16" s="16">
        <f>SUM(Details!$C$28:D$28)/SUM(Details!$O$28:P$28)</f>
        <v>1.17</v>
      </c>
      <c r="D16" s="16">
        <f>SUM(Details!$C$28:E$28)/SUM(Details!$O$28:Q$28)</f>
        <v>1.0725</v>
      </c>
      <c r="E16" s="16">
        <f>SUM(Details!$C$28:F$28)/SUM(Details!$O$28:R$28)</f>
        <v>1.26</v>
      </c>
      <c r="F16" s="16">
        <f>SUM(Details!$C$28:G$28)/SUM(Details!$O$28:S$28)</f>
        <v>1.4575</v>
      </c>
      <c r="G16" s="16">
        <f>SUM(Details!$C$28:H$28)/SUM(Details!$O$28:T$28)</f>
        <v>1.381</v>
      </c>
      <c r="H16" s="16">
        <f>SUM(Details!$C$28:I$28)/SUM(Details!$O$28:U$28)</f>
        <v>1.3208695652173914</v>
      </c>
      <c r="I16" s="16">
        <f>SUM(Details!$C$28:J$28)/SUM(Details!$O$28:V$28)</f>
        <v>1.3614814814814815</v>
      </c>
      <c r="O16" s="16" t="b">
        <f>Details!AM$28=B16</f>
        <v>1</v>
      </c>
      <c r="P16" s="16" t="b">
        <f>Details!AN$28=C16</f>
        <v>1</v>
      </c>
      <c r="Q16" s="16" t="b">
        <f>Details!AO$28=D16</f>
        <v>1</v>
      </c>
      <c r="R16" s="16" t="b">
        <f>Details!AP$28=E16</f>
        <v>1</v>
      </c>
      <c r="S16" s="16" t="b">
        <f>Details!AQ$28=F16</f>
        <v>1</v>
      </c>
      <c r="T16" s="16" t="b">
        <f>Details!AR$28=G16</f>
        <v>1</v>
      </c>
      <c r="U16" s="16" t="b">
        <f>Details!AS$28=H16</f>
        <v>1</v>
      </c>
      <c r="V16" s="16" t="b">
        <f>Details!AT$28=I16</f>
        <v>1</v>
      </c>
    </row>
    <row r="17" spans="2:22" x14ac:dyDescent="0.35">
      <c r="B17" s="16">
        <f>SUM(Details!$C$29:C$29)/SUM(Details!$O$29:O$29)</f>
        <v>1.0649999999999999</v>
      </c>
      <c r="C17" s="16">
        <f>SUM(Details!$C$29:D$29)/SUM(Details!$O$29:P$29)</f>
        <v>1.07</v>
      </c>
      <c r="D17" s="16">
        <f>SUM(Details!$C$29:E$29)/SUM(Details!$O$29:Q$29)</f>
        <v>1.0428571428571429</v>
      </c>
      <c r="E17" s="16">
        <f>SUM(Details!$C$29:F$29)/SUM(Details!$O$29:R$29)</f>
        <v>1.0936170212765957</v>
      </c>
      <c r="F17" s="16">
        <f>SUM(Details!$C$29:G$29)/SUM(Details!$O$29:S$29)</f>
        <v>1.2115226337448559</v>
      </c>
      <c r="G17" s="16">
        <f>SUM(Details!$C$29:H$29)/SUM(Details!$O$29:T$29)</f>
        <v>1.1805460750853243</v>
      </c>
      <c r="H17" s="16">
        <f>SUM(Details!$C$29:I$29)/SUM(Details!$O$29:U$29)</f>
        <v>1.1309037900874637</v>
      </c>
      <c r="I17" s="16">
        <f>SUM(Details!$C$29:J$29)/SUM(Details!$O$29:V$29)</f>
        <v>1.1377171215880892</v>
      </c>
      <c r="O17" s="16" t="b">
        <f>Details!AM$29=B17</f>
        <v>1</v>
      </c>
      <c r="P17" s="16" t="b">
        <f>Details!AN$29=C17</f>
        <v>1</v>
      </c>
      <c r="Q17" s="16" t="b">
        <f>Details!AO$29=D17</f>
        <v>1</v>
      </c>
      <c r="R17" s="16" t="b">
        <f>Details!AP$29=E17</f>
        <v>1</v>
      </c>
      <c r="S17" s="16" t="b">
        <f>Details!AQ$29=F17</f>
        <v>1</v>
      </c>
      <c r="T17" s="16" t="b">
        <f>Details!AR$29=G17</f>
        <v>1</v>
      </c>
      <c r="U17" s="16" t="b">
        <f>Details!AS$29=H17</f>
        <v>1</v>
      </c>
      <c r="V17" s="16" t="b">
        <f>Details!AT$29=I17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FB2A-A5F4-4C85-8DB4-D9AAC0AB074D}">
  <dimension ref="A1:M57"/>
  <sheetViews>
    <sheetView topLeftCell="A32" zoomScale="85" zoomScaleNormal="85" workbookViewId="0">
      <selection activeCell="F60" sqref="F60"/>
    </sheetView>
  </sheetViews>
  <sheetFormatPr defaultRowHeight="14.5" x14ac:dyDescent="0.35"/>
  <cols>
    <col min="1" max="3" width="15.90625" customWidth="1"/>
    <col min="6" max="8" width="14.81640625" customWidth="1"/>
    <col min="11" max="13" width="14.36328125" customWidth="1"/>
  </cols>
  <sheetData>
    <row r="1" spans="1:13" x14ac:dyDescent="0.35">
      <c r="A1" t="s">
        <v>15</v>
      </c>
    </row>
    <row r="3" spans="1:13" x14ac:dyDescent="0.35">
      <c r="A3" t="s">
        <v>33</v>
      </c>
      <c r="B3" t="s">
        <v>2</v>
      </c>
      <c r="C3" t="s">
        <v>23</v>
      </c>
    </row>
    <row r="4" spans="1:13" x14ac:dyDescent="0.35">
      <c r="A4" t="s">
        <v>19</v>
      </c>
      <c r="B4" s="53">
        <f>SUM(Details!$C$9:$N$9)</f>
        <v>35180000</v>
      </c>
      <c r="C4" s="53">
        <f>SUM(Details!$O$9:$Z$9)</f>
        <v>38030000</v>
      </c>
    </row>
    <row r="5" spans="1:13" x14ac:dyDescent="0.35">
      <c r="A5" t="s">
        <v>21</v>
      </c>
      <c r="B5" s="53">
        <f>SUM(Details!$C$19:$N$19)</f>
        <v>32731000</v>
      </c>
      <c r="C5" s="53">
        <f>SUM(Details!$O$19:$Z$19)</f>
        <v>33900000</v>
      </c>
    </row>
    <row r="6" spans="1:13" x14ac:dyDescent="0.35">
      <c r="A6" t="s">
        <v>22</v>
      </c>
      <c r="B6" s="53">
        <f>SUM(Details!$C$29:$N$29)</f>
        <v>4585000</v>
      </c>
      <c r="C6" s="53">
        <f>SUM(Details!$O$29:$Z$29)</f>
        <v>4030000</v>
      </c>
    </row>
    <row r="9" spans="1:13" x14ac:dyDescent="0.35">
      <c r="A9" t="s">
        <v>34</v>
      </c>
      <c r="F9" t="s">
        <v>37</v>
      </c>
      <c r="K9" t="s">
        <v>36</v>
      </c>
    </row>
    <row r="11" spans="1:13" x14ac:dyDescent="0.35">
      <c r="A11" t="s">
        <v>35</v>
      </c>
      <c r="B11" t="s">
        <v>2</v>
      </c>
      <c r="C11" t="s">
        <v>23</v>
      </c>
      <c r="F11" t="s">
        <v>35</v>
      </c>
      <c r="G11" t="s">
        <v>2</v>
      </c>
      <c r="H11" t="s">
        <v>23</v>
      </c>
      <c r="K11" t="s">
        <v>35</v>
      </c>
      <c r="L11" t="s">
        <v>2</v>
      </c>
      <c r="M11" t="s">
        <v>23</v>
      </c>
    </row>
    <row r="12" spans="1:13" x14ac:dyDescent="0.35">
      <c r="A12" t="s">
        <v>8</v>
      </c>
      <c r="B12" s="53">
        <f>INDEX(Details!$C$6:$N$6,MATCH($A12,Details!$C$5:$N$5,0))</f>
        <v>1250000</v>
      </c>
      <c r="C12" s="53">
        <f>INDEX(Details!$O$6:$Z$6,MATCH($A12,Details!$O$5:$Z$5,0))</f>
        <v>1000000</v>
      </c>
      <c r="F12" t="s">
        <v>8</v>
      </c>
      <c r="G12" s="53">
        <f>INDEX(Details!$C$7:$N$7,MATCH($F12,Details!$C$5:$N$5,0))</f>
        <v>980000</v>
      </c>
      <c r="H12" s="53">
        <f>INDEX(Details!$O$7:$Z$7,MATCH($F12,Details!$O$5:$Z$5,0))</f>
        <v>950000</v>
      </c>
      <c r="K12" t="s">
        <v>8</v>
      </c>
      <c r="L12" s="53">
        <f>INDEX(Details!$C$8:$N$8,MATCH($K12,Details!$C$5:$N$5,0))</f>
        <v>1450000</v>
      </c>
      <c r="M12" s="53">
        <f>INDEX(Details!$O$8:$Z$8,MATCH($K12,Details!$O$5:$Z$5,0))</f>
        <v>1400000</v>
      </c>
    </row>
    <row r="13" spans="1:13" x14ac:dyDescent="0.35">
      <c r="A13" t="s">
        <v>9</v>
      </c>
      <c r="B13" s="53">
        <f>INDEX(Details!$C$6:$N$6,MATCH($A13,Details!$C$5:$N$5,0))</f>
        <v>1320000</v>
      </c>
      <c r="C13" s="53">
        <f>INDEX(Details!$O$6:$Z$6,MATCH($A13,Details!$O$5:$Z$5,0))</f>
        <v>1620000</v>
      </c>
      <c r="F13" t="s">
        <v>9</v>
      </c>
      <c r="G13" s="53">
        <f>INDEX(Details!$C$7:$N$7,MATCH($F13,Details!$C$5:$N$5,0))</f>
        <v>1080000</v>
      </c>
      <c r="H13" s="53">
        <f>INDEX(Details!$O$7:$Z$7,MATCH($F13,Details!$O$5:$Z$5,0))</f>
        <v>1400000</v>
      </c>
      <c r="K13" t="s">
        <v>9</v>
      </c>
      <c r="L13" s="53">
        <f>INDEX(Details!$C$8:$N$8,MATCH($K13,Details!$C$5:$N$5,0))</f>
        <v>1580000</v>
      </c>
      <c r="M13" s="53">
        <f>INDEX(Details!$O$8:$Z$8,MATCH($K13,Details!$O$5:$Z$5,0))</f>
        <v>1700000</v>
      </c>
    </row>
    <row r="14" spans="1:13" x14ac:dyDescent="0.35">
      <c r="A14" t="s">
        <v>10</v>
      </c>
      <c r="B14" s="53">
        <f>INDEX(Details!$C$6:$N$6,MATCH($A14,Details!$C$5:$N$5,0))</f>
        <v>1410000</v>
      </c>
      <c r="C14" s="53">
        <f>INDEX(Details!$O$6:$Z$6,MATCH($A14,Details!$O$5:$Z$5,0))</f>
        <v>1510000</v>
      </c>
      <c r="F14" t="s">
        <v>10</v>
      </c>
      <c r="G14" s="53">
        <f>INDEX(Details!$C$7:$N$7,MATCH($F14,Details!$C$5:$N$5,0))</f>
        <v>1160000</v>
      </c>
      <c r="H14" s="53">
        <f>INDEX(Details!$O$7:$Z$7,MATCH($F14,Details!$O$5:$Z$5,0))</f>
        <v>1350000</v>
      </c>
      <c r="K14" t="s">
        <v>10</v>
      </c>
      <c r="L14" s="53">
        <f>INDEX(Details!$C$8:$N$8,MATCH($K14,Details!$C$5:$N$5,0))</f>
        <v>1720000</v>
      </c>
      <c r="M14" s="53">
        <f>INDEX(Details!$O$8:$Z$8,MATCH($K14,Details!$O$5:$Z$5,0))</f>
        <v>1900000</v>
      </c>
    </row>
    <row r="15" spans="1:13" x14ac:dyDescent="0.35">
      <c r="A15" t="s">
        <v>11</v>
      </c>
      <c r="B15" s="53">
        <f>INDEX(Details!$C$6:$N$6,MATCH($A15,Details!$C$5:$N$5,0))</f>
        <v>1500000</v>
      </c>
      <c r="C15" s="53">
        <f>INDEX(Details!$O$6:$Z$6,MATCH($A15,Details!$O$5:$Z$5,0))</f>
        <v>1800000</v>
      </c>
      <c r="F15" t="s">
        <v>11</v>
      </c>
      <c r="G15" s="53">
        <f>INDEX(Details!$C$7:$N$7,MATCH($F15,Details!$C$5:$N$5,0))</f>
        <v>1210000</v>
      </c>
      <c r="H15" s="53">
        <f>INDEX(Details!$O$7:$Z$7,MATCH($F15,Details!$O$5:$Z$5,0))</f>
        <v>1700000</v>
      </c>
      <c r="K15" t="s">
        <v>11</v>
      </c>
      <c r="L15" s="53">
        <f>INDEX(Details!$C$8:$N$8,MATCH($K15,Details!$C$5:$N$5,0))</f>
        <v>1810000</v>
      </c>
      <c r="M15" s="53">
        <f>INDEX(Details!$O$8:$Z$8,MATCH($K15,Details!$O$5:$Z$5,0))</f>
        <v>1800000</v>
      </c>
    </row>
    <row r="16" spans="1:13" x14ac:dyDescent="0.35">
      <c r="A16" t="s">
        <v>12</v>
      </c>
      <c r="B16" s="53">
        <f>INDEX(Details!$C$6:$N$6,MATCH($A16,Details!$C$5:$N$5,0))</f>
        <v>1430000</v>
      </c>
      <c r="C16" s="53">
        <f>INDEX(Details!$O$6:$Z$6,MATCH($A16,Details!$O$5:$Z$5,0))</f>
        <v>1600000</v>
      </c>
      <c r="F16" t="s">
        <v>12</v>
      </c>
      <c r="G16" s="53">
        <f>INDEX(Details!$C$7:$N$7,MATCH($F16,Details!$C$5:$N$5,0))</f>
        <v>1170000</v>
      </c>
      <c r="H16" s="53">
        <f>INDEX(Details!$O$7:$Z$7,MATCH($F16,Details!$O$5:$Z$5,0))</f>
        <v>1300000</v>
      </c>
      <c r="K16" t="s">
        <v>12</v>
      </c>
      <c r="L16" s="53">
        <f>INDEX(Details!$C$8:$N$8,MATCH($K16,Details!$C$5:$N$5,0))</f>
        <v>1690000</v>
      </c>
      <c r="M16" s="53">
        <f>INDEX(Details!$O$8:$Z$8,MATCH($K16,Details!$O$5:$Z$5,0))</f>
        <v>1800000</v>
      </c>
    </row>
    <row r="17" spans="1:13" x14ac:dyDescent="0.35">
      <c r="A17" t="s">
        <v>13</v>
      </c>
      <c r="B17" s="53">
        <f>INDEX(Details!$C$6:$N$6,MATCH($A17,Details!$C$5:$N$5,0))</f>
        <v>1600000</v>
      </c>
      <c r="C17" s="53">
        <f>INDEX(Details!$O$6:$Z$6,MATCH($A17,Details!$O$5:$Z$5,0))</f>
        <v>1600000</v>
      </c>
      <c r="F17" t="s">
        <v>13</v>
      </c>
      <c r="G17" s="53">
        <f>INDEX(Details!$C$7:$N$7,MATCH($F17,Details!$C$5:$N$5,0))</f>
        <v>1280000</v>
      </c>
      <c r="H17" s="53">
        <f>INDEX(Details!$O$7:$Z$7,MATCH($F17,Details!$O$5:$Z$5,0))</f>
        <v>1500000</v>
      </c>
      <c r="K17" t="s">
        <v>13</v>
      </c>
      <c r="L17" s="53">
        <f>INDEX(Details!$C$8:$N$8,MATCH($K17,Details!$C$5:$N$5,0))</f>
        <v>1910000</v>
      </c>
      <c r="M17" s="53">
        <f>INDEX(Details!$O$8:$Z$8,MATCH($K17,Details!$O$5:$Z$5,0))</f>
        <v>2000000</v>
      </c>
    </row>
    <row r="18" spans="1:13" x14ac:dyDescent="0.35">
      <c r="A18" t="s">
        <v>14</v>
      </c>
      <c r="B18" s="53">
        <f>INDEX(Details!$C$6:$N$6,MATCH($A18,Details!$C$5:$N$5,0))</f>
        <v>1540000</v>
      </c>
      <c r="C18" s="53">
        <f>INDEX(Details!$O$6:$Z$6,MATCH($A18,Details!$O$5:$Z$5,0))</f>
        <v>1800000</v>
      </c>
      <c r="F18" t="s">
        <v>14</v>
      </c>
      <c r="G18" s="53">
        <f>INDEX(Details!$C$7:$N$7,MATCH($F18,Details!$C$5:$N$5,0))</f>
        <v>1240000</v>
      </c>
      <c r="H18" s="53">
        <f>INDEX(Details!$O$7:$Z$7,MATCH($F18,Details!$O$5:$Z$5,0))</f>
        <v>1400000</v>
      </c>
      <c r="K18" t="s">
        <v>14</v>
      </c>
      <c r="L18" s="53">
        <f>INDEX(Details!$C$8:$N$8,MATCH($K18,Details!$C$5:$N$5,0))</f>
        <v>1840000</v>
      </c>
      <c r="M18" s="53">
        <f>INDEX(Details!$O$8:$Z$8,MATCH($K18,Details!$O$5:$Z$5,0))</f>
        <v>2000000</v>
      </c>
    </row>
    <row r="19" spans="1:13" x14ac:dyDescent="0.35">
      <c r="A19" t="s">
        <v>15</v>
      </c>
      <c r="B19" s="53">
        <f>INDEX(Details!$C$6:$N$6,MATCH($A19,Details!$C$5:$N$5,0))</f>
        <v>1680000</v>
      </c>
      <c r="C19" s="53">
        <f>INDEX(Details!$O$6:$Z$6,MATCH($A19,Details!$O$5:$Z$5,0))</f>
        <v>1600000</v>
      </c>
      <c r="F19" t="s">
        <v>15</v>
      </c>
      <c r="G19" s="53">
        <f>INDEX(Details!$C$7:$N$7,MATCH($F19,Details!$C$5:$N$5,0))</f>
        <v>1350000</v>
      </c>
      <c r="H19" s="53">
        <f>INDEX(Details!$O$7:$Z$7,MATCH($F19,Details!$O$5:$Z$5,0))</f>
        <v>1300000</v>
      </c>
      <c r="K19" t="s">
        <v>15</v>
      </c>
      <c r="L19" s="53">
        <f>INDEX(Details!$C$8:$N$8,MATCH($K19,Details!$C$5:$N$5,0))</f>
        <v>1980000</v>
      </c>
      <c r="M19" s="53">
        <f>INDEX(Details!$O$8:$Z$8,MATCH($K19,Details!$O$5:$Z$5,0))</f>
        <v>2000000</v>
      </c>
    </row>
    <row r="20" spans="1:13" x14ac:dyDescent="0.35">
      <c r="A20" t="s">
        <v>25</v>
      </c>
      <c r="F20" t="s">
        <v>25</v>
      </c>
      <c r="K20" t="s">
        <v>25</v>
      </c>
    </row>
    <row r="21" spans="1:13" x14ac:dyDescent="0.35">
      <c r="A21" t="s">
        <v>26</v>
      </c>
      <c r="F21" t="s">
        <v>26</v>
      </c>
      <c r="K21" t="s">
        <v>26</v>
      </c>
    </row>
    <row r="22" spans="1:13" x14ac:dyDescent="0.35">
      <c r="A22" t="s">
        <v>27</v>
      </c>
      <c r="F22" t="s">
        <v>27</v>
      </c>
      <c r="K22" t="s">
        <v>27</v>
      </c>
    </row>
    <row r="23" spans="1:13" x14ac:dyDescent="0.35">
      <c r="A23" t="s">
        <v>28</v>
      </c>
      <c r="F23" t="s">
        <v>28</v>
      </c>
      <c r="K23" t="s">
        <v>28</v>
      </c>
    </row>
    <row r="26" spans="1:13" x14ac:dyDescent="0.35">
      <c r="A26" t="s">
        <v>38</v>
      </c>
      <c r="F26" t="s">
        <v>39</v>
      </c>
      <c r="K26" t="s">
        <v>40</v>
      </c>
    </row>
    <row r="28" spans="1:13" x14ac:dyDescent="0.35">
      <c r="A28" t="s">
        <v>35</v>
      </c>
      <c r="B28" t="s">
        <v>2</v>
      </c>
      <c r="C28" t="s">
        <v>23</v>
      </c>
      <c r="F28" t="s">
        <v>35</v>
      </c>
      <c r="G28" t="s">
        <v>2</v>
      </c>
      <c r="H28" t="s">
        <v>23</v>
      </c>
      <c r="K28" t="s">
        <v>35</v>
      </c>
      <c r="L28" t="s">
        <v>2</v>
      </c>
      <c r="M28" t="s">
        <v>23</v>
      </c>
    </row>
    <row r="29" spans="1:13" x14ac:dyDescent="0.35">
      <c r="A29" t="s">
        <v>8</v>
      </c>
      <c r="B29" s="53">
        <f>INDEX(Details!$C$16:$N$16,MATCH($A29,Details!$C$15:$N$15,0))</f>
        <v>1138000</v>
      </c>
      <c r="C29" s="53">
        <f>INDEX(Details!$O$16:$Z$16,MATCH($A29,Details!$O$15:$Z$15,0))</f>
        <v>1200000</v>
      </c>
      <c r="F29" t="s">
        <v>8</v>
      </c>
      <c r="G29" s="53">
        <f>INDEX(Details!$C$17:$N$17,MATCH($F29,Details!$C$15:$N$15,0))</f>
        <v>911000</v>
      </c>
      <c r="H29" s="53">
        <f>INDEX(Details!$O$17:$Z$17,MATCH($F29,Details!$O$15:$Z$15,0))</f>
        <v>1000000</v>
      </c>
      <c r="K29" t="s">
        <v>8</v>
      </c>
      <c r="L29" s="53">
        <f>INDEX(Details!$C$18:$N$18,MATCH($K29,Details!$C$15:$N$15,0))</f>
        <v>1305000</v>
      </c>
      <c r="M29" s="53">
        <f>INDEX(Details!$O$18:$Z$18,MATCH($K29,Details!$O$15:$Z$15,0))</f>
        <v>1300000</v>
      </c>
    </row>
    <row r="30" spans="1:13" x14ac:dyDescent="0.35">
      <c r="A30" t="s">
        <v>9</v>
      </c>
      <c r="B30" s="53">
        <f>INDEX(Details!$C$16:$N$16,MATCH($A30,Details!$C$15:$N$15,0))</f>
        <v>1214000</v>
      </c>
      <c r="C30" s="53">
        <f>INDEX(Details!$O$16:$Z$16,MATCH($A30,Details!$O$15:$Z$15,0))</f>
        <v>1300000</v>
      </c>
      <c r="F30" t="s">
        <v>9</v>
      </c>
      <c r="G30" s="53">
        <f>INDEX(Details!$C$17:$N$17,MATCH($F30,Details!$C$15:$N$15,0))</f>
        <v>1015000</v>
      </c>
      <c r="H30" s="53">
        <f>INDEX(Details!$O$17:$Z$17,MATCH($F30,Details!$O$15:$Z$15,0))</f>
        <v>1200000</v>
      </c>
      <c r="K30" t="s">
        <v>9</v>
      </c>
      <c r="L30" s="53">
        <f>INDEX(Details!$C$18:$N$18,MATCH($K30,Details!$C$15:$N$15,0))</f>
        <v>1438000</v>
      </c>
      <c r="M30" s="53">
        <f>INDEX(Details!$O$18:$Z$18,MATCH($K30,Details!$O$15:$Z$15,0))</f>
        <v>1400000</v>
      </c>
    </row>
    <row r="31" spans="1:13" x14ac:dyDescent="0.35">
      <c r="A31" t="s">
        <v>10</v>
      </c>
      <c r="B31" s="53">
        <f>INDEX(Details!$C$16:$N$16,MATCH($A31,Details!$C$15:$N$15,0))</f>
        <v>1311000</v>
      </c>
      <c r="C31" s="53">
        <f>INDEX(Details!$O$16:$Z$16,MATCH($A31,Details!$O$15:$Z$15,0))</f>
        <v>1300000</v>
      </c>
      <c r="F31" t="s">
        <v>10</v>
      </c>
      <c r="G31" s="53">
        <f>INDEX(Details!$C$17:$N$17,MATCH($F31,Details!$C$15:$N$15,0))</f>
        <v>1067000</v>
      </c>
      <c r="H31" s="53">
        <f>INDEX(Details!$O$17:$Z$17,MATCH($F31,Details!$O$15:$Z$15,0))</f>
        <v>1100000</v>
      </c>
      <c r="K31" t="s">
        <v>10</v>
      </c>
      <c r="L31" s="53">
        <f>INDEX(Details!$C$18:$N$18,MATCH($K31,Details!$C$15:$N$15,0))</f>
        <v>1617000</v>
      </c>
      <c r="M31" s="53">
        <f>INDEX(Details!$O$18:$Z$18,MATCH($K31,Details!$O$15:$Z$15,0))</f>
        <v>1600000</v>
      </c>
    </row>
    <row r="32" spans="1:13" x14ac:dyDescent="0.35">
      <c r="A32" t="s">
        <v>11</v>
      </c>
      <c r="B32" s="53">
        <f>INDEX(Details!$C$16:$N$16,MATCH($A32,Details!$C$15:$N$15,0))</f>
        <v>1425000</v>
      </c>
      <c r="C32" s="53">
        <f>INDEX(Details!$O$16:$Z$16,MATCH($A32,Details!$O$15:$Z$15,0))</f>
        <v>1500000</v>
      </c>
      <c r="F32" t="s">
        <v>11</v>
      </c>
      <c r="G32" s="53">
        <f>INDEX(Details!$C$17:$N$17,MATCH($F32,Details!$C$15:$N$15,0))</f>
        <v>1125000</v>
      </c>
      <c r="H32" s="53">
        <f>INDEX(Details!$O$17:$Z$17,MATCH($F32,Details!$O$15:$Z$15,0))</f>
        <v>1200000</v>
      </c>
      <c r="K32" t="s">
        <v>11</v>
      </c>
      <c r="L32" s="53">
        <f>INDEX(Details!$C$18:$N$18,MATCH($K32,Details!$C$15:$N$15,0))</f>
        <v>1665000</v>
      </c>
      <c r="M32" s="53">
        <f>INDEX(Details!$O$18:$Z$18,MATCH($K32,Details!$O$15:$Z$15,0))</f>
        <v>1600000</v>
      </c>
    </row>
    <row r="33" spans="1:13" x14ac:dyDescent="0.35">
      <c r="A33" t="s">
        <v>12</v>
      </c>
      <c r="B33" s="53">
        <f>INDEX(Details!$C$16:$N$16,MATCH($A33,Details!$C$15:$N$15,0))</f>
        <v>1316000</v>
      </c>
      <c r="C33" s="53">
        <f>INDEX(Details!$O$16:$Z$16,MATCH($A33,Details!$O$15:$Z$15,0))</f>
        <v>1300000</v>
      </c>
      <c r="F33" t="s">
        <v>12</v>
      </c>
      <c r="G33" s="53">
        <f>INDEX(Details!$C$17:$N$17,MATCH($F33,Details!$C$15:$N$15,0))</f>
        <v>1112000</v>
      </c>
      <c r="H33" s="53">
        <f>INDEX(Details!$O$17:$Z$17,MATCH($F33,Details!$O$15:$Z$15,0))</f>
        <v>1200000</v>
      </c>
      <c r="K33" t="s">
        <v>12</v>
      </c>
      <c r="L33" s="53">
        <f>INDEX(Details!$C$18:$N$18,MATCH($K33,Details!$C$15:$N$15,0))</f>
        <v>1572000</v>
      </c>
      <c r="M33" s="53">
        <f>INDEX(Details!$O$18:$Z$18,MATCH($K33,Details!$O$15:$Z$15,0))</f>
        <v>1500000</v>
      </c>
    </row>
    <row r="34" spans="1:13" x14ac:dyDescent="0.35">
      <c r="A34" t="s">
        <v>13</v>
      </c>
      <c r="B34" s="53">
        <f>INDEX(Details!$C$16:$N$16,MATCH($A34,Details!$C$15:$N$15,0))</f>
        <v>1504000</v>
      </c>
      <c r="C34" s="53">
        <f>INDEX(Details!$O$16:$Z$16,MATCH($A34,Details!$O$15:$Z$15,0))</f>
        <v>1600000</v>
      </c>
      <c r="F34" t="s">
        <v>13</v>
      </c>
      <c r="G34" s="53">
        <f>INDEX(Details!$C$17:$N$17,MATCH($F34,Details!$C$15:$N$15,0))</f>
        <v>1178000</v>
      </c>
      <c r="H34" s="53">
        <f>INDEX(Details!$O$17:$Z$17,MATCH($F34,Details!$O$15:$Z$15,0))</f>
        <v>1200000</v>
      </c>
      <c r="K34" t="s">
        <v>13</v>
      </c>
      <c r="L34" s="53">
        <f>INDEX(Details!$C$18:$N$18,MATCH($K34,Details!$C$15:$N$15,0))</f>
        <v>1814000</v>
      </c>
      <c r="M34" s="53">
        <f>INDEX(Details!$O$18:$Z$18,MATCH($K34,Details!$O$15:$Z$15,0))</f>
        <v>2000000</v>
      </c>
    </row>
    <row r="35" spans="1:13" x14ac:dyDescent="0.35">
      <c r="A35" t="s">
        <v>14</v>
      </c>
      <c r="B35" s="53">
        <f>INDEX(Details!$C$16:$N$16,MATCH($A35,Details!$C$15:$N$15,0))</f>
        <v>1432000</v>
      </c>
      <c r="C35" s="53">
        <f>INDEX(Details!$O$16:$Z$16,MATCH($A35,Details!$O$15:$Z$15,0))</f>
        <v>1800000</v>
      </c>
      <c r="F35" t="s">
        <v>14</v>
      </c>
      <c r="G35" s="53">
        <f>INDEX(Details!$C$17:$N$17,MATCH($F35,Details!$C$15:$N$15,0))</f>
        <v>1166000</v>
      </c>
      <c r="H35" s="53">
        <f>INDEX(Details!$O$17:$Z$17,MATCH($F35,Details!$O$15:$Z$15,0))</f>
        <v>1200000</v>
      </c>
      <c r="K35" t="s">
        <v>14</v>
      </c>
      <c r="L35" s="53">
        <f>INDEX(Details!$C$18:$N$18,MATCH($K35,Details!$C$15:$N$15,0))</f>
        <v>1693000</v>
      </c>
      <c r="M35" s="53">
        <f>INDEX(Details!$O$18:$Z$18,MATCH($K35,Details!$O$15:$Z$15,0))</f>
        <v>1800000</v>
      </c>
    </row>
    <row r="36" spans="1:13" x14ac:dyDescent="0.35">
      <c r="A36" t="s">
        <v>15</v>
      </c>
      <c r="B36" s="53">
        <f>INDEX(Details!$C$16:$N$16,MATCH($A36,Details!$C$15:$N$15,0))</f>
        <v>1596000</v>
      </c>
      <c r="C36" s="53">
        <f>INDEX(Details!$O$16:$Z$16,MATCH($A36,Details!$O$15:$Z$15,0))</f>
        <v>1600000</v>
      </c>
      <c r="F36" t="s">
        <v>15</v>
      </c>
      <c r="G36" s="53">
        <f>INDEX(Details!$C$17:$N$17,MATCH($F36,Details!$C$15:$N$15,0))</f>
        <v>1256000</v>
      </c>
      <c r="H36" s="53">
        <f>INDEX(Details!$O$17:$Z$17,MATCH($F36,Details!$O$15:$Z$15,0))</f>
        <v>1200000</v>
      </c>
      <c r="K36" t="s">
        <v>15</v>
      </c>
      <c r="L36" s="53">
        <f>INDEX(Details!$C$18:$N$18,MATCH($K36,Details!$C$15:$N$15,0))</f>
        <v>1861000</v>
      </c>
      <c r="M36" s="53">
        <f>INDEX(Details!$O$18:$Z$18,MATCH($K36,Details!$O$15:$Z$15,0))</f>
        <v>1800000</v>
      </c>
    </row>
    <row r="37" spans="1:13" x14ac:dyDescent="0.35">
      <c r="A37" t="s">
        <v>25</v>
      </c>
      <c r="F37" t="s">
        <v>25</v>
      </c>
      <c r="K37" t="s">
        <v>25</v>
      </c>
    </row>
    <row r="38" spans="1:13" x14ac:dyDescent="0.35">
      <c r="A38" t="s">
        <v>26</v>
      </c>
      <c r="F38" t="s">
        <v>26</v>
      </c>
      <c r="K38" t="s">
        <v>26</v>
      </c>
    </row>
    <row r="39" spans="1:13" x14ac:dyDescent="0.35">
      <c r="A39" t="s">
        <v>27</v>
      </c>
      <c r="F39" t="s">
        <v>27</v>
      </c>
      <c r="K39" t="s">
        <v>27</v>
      </c>
    </row>
    <row r="40" spans="1:13" x14ac:dyDescent="0.35">
      <c r="A40" t="s">
        <v>28</v>
      </c>
      <c r="F40" t="s">
        <v>28</v>
      </c>
      <c r="K40" t="s">
        <v>28</v>
      </c>
    </row>
    <row r="43" spans="1:13" x14ac:dyDescent="0.35">
      <c r="A43" t="s">
        <v>41</v>
      </c>
      <c r="F43" t="s">
        <v>42</v>
      </c>
      <c r="K43" t="s">
        <v>43</v>
      </c>
    </row>
    <row r="45" spans="1:13" x14ac:dyDescent="0.35">
      <c r="A45" t="s">
        <v>35</v>
      </c>
      <c r="B45" t="s">
        <v>2</v>
      </c>
      <c r="C45" t="s">
        <v>23</v>
      </c>
      <c r="F45" t="s">
        <v>35</v>
      </c>
      <c r="G45" t="s">
        <v>2</v>
      </c>
      <c r="H45" t="s">
        <v>23</v>
      </c>
      <c r="K45" t="s">
        <v>35</v>
      </c>
      <c r="L45" t="s">
        <v>2</v>
      </c>
      <c r="M45" t="s">
        <v>23</v>
      </c>
    </row>
    <row r="46" spans="1:13" x14ac:dyDescent="0.35">
      <c r="A46" t="s">
        <v>8</v>
      </c>
      <c r="B46" s="53">
        <f>INDEX(Details!$C$26:$N$26,MATCH($A46,Details!$C$25:$N$25,0))</f>
        <v>104000</v>
      </c>
      <c r="C46" s="53">
        <f>INDEX(Details!$O$26:$Z$26,MATCH($A46,Details!$O$25:$Z$25,0))</f>
        <v>100000</v>
      </c>
      <c r="F46" t="s">
        <v>8</v>
      </c>
      <c r="G46" s="53">
        <f>INDEX(Details!$C$27:$N$27,MATCH($F46,Details!$C$25:$N$25,0))</f>
        <v>206000</v>
      </c>
      <c r="H46" s="53">
        <f>INDEX(Details!$O$27:$Z$27,MATCH($F46,Details!$O$25:$Z$25,0))</f>
        <v>200000</v>
      </c>
      <c r="K46" t="s">
        <v>8</v>
      </c>
      <c r="L46" s="53">
        <f>INDEX(Details!$C$28:$N$28,MATCH($K46,Details!$C$25:$N$25,0))</f>
        <v>116000</v>
      </c>
      <c r="M46" s="53">
        <f>INDEX(Details!$O$28:$Z$28,MATCH($K46,Details!$O$25:$Z$25,0))</f>
        <v>100000</v>
      </c>
    </row>
    <row r="47" spans="1:13" x14ac:dyDescent="0.35">
      <c r="A47" t="s">
        <v>9</v>
      </c>
      <c r="B47" s="53">
        <f>INDEX(Details!$C$26:$N$26,MATCH($A47,Details!$C$25:$N$25,0))</f>
        <v>102000</v>
      </c>
      <c r="C47" s="53">
        <f>INDEX(Details!$O$26:$Z$26,MATCH($A47,Details!$O$25:$Z$25,0))</f>
        <v>100000</v>
      </c>
      <c r="F47" t="s">
        <v>9</v>
      </c>
      <c r="G47" s="53">
        <f>INDEX(Details!$C$27:$N$27,MATCH($F47,Details!$C$25:$N$25,0))</f>
        <v>210000</v>
      </c>
      <c r="H47" s="53">
        <f>INDEX(Details!$O$27:$Z$27,MATCH($F47,Details!$O$25:$Z$25,0))</f>
        <v>200000</v>
      </c>
      <c r="K47" t="s">
        <v>9</v>
      </c>
      <c r="L47" s="53">
        <f>INDEX(Details!$C$28:$N$28,MATCH($K47,Details!$C$25:$N$25,0))</f>
        <v>118000</v>
      </c>
      <c r="M47" s="53">
        <f>INDEX(Details!$O$28:$Z$28,MATCH($K47,Details!$O$25:$Z$25,0))</f>
        <v>100000</v>
      </c>
    </row>
    <row r="48" spans="1:13" x14ac:dyDescent="0.35">
      <c r="A48" t="s">
        <v>10</v>
      </c>
      <c r="B48" s="53">
        <f>INDEX(Details!$C$26:$N$26,MATCH($A48,Details!$C$25:$N$25,0))</f>
        <v>128000</v>
      </c>
      <c r="C48" s="53">
        <f>INDEX(Details!$O$26:$Z$26,MATCH($A48,Details!$O$25:$Z$25,0))</f>
        <v>120000</v>
      </c>
      <c r="F48" t="s">
        <v>10</v>
      </c>
      <c r="G48" s="53">
        <f>INDEX(Details!$C$27:$N$27,MATCH($F48,Details!$C$25:$N$25,0))</f>
        <v>281000</v>
      </c>
      <c r="H48" s="53">
        <f>INDEX(Details!$O$27:$Z$27,MATCH($F48,Details!$O$25:$Z$25,0))</f>
        <v>280000</v>
      </c>
      <c r="K48" t="s">
        <v>10</v>
      </c>
      <c r="L48" s="53">
        <f>INDEX(Details!$C$28:$N$28,MATCH($K48,Details!$C$25:$N$25,0))</f>
        <v>195000</v>
      </c>
      <c r="M48" s="53">
        <f>INDEX(Details!$O$28:$Z$28,MATCH($K48,Details!$O$25:$Z$25,0))</f>
        <v>200000</v>
      </c>
    </row>
    <row r="49" spans="1:13" x14ac:dyDescent="0.35">
      <c r="A49" t="s">
        <v>11</v>
      </c>
      <c r="B49" s="53">
        <f>INDEX(Details!$C$26:$N$26,MATCH($A49,Details!$C$25:$N$25,0))</f>
        <v>90000</v>
      </c>
      <c r="C49" s="53">
        <f>INDEX(Details!$O$26:$Z$26,MATCH($A49,Details!$O$25:$Z$25,0))</f>
        <v>100000</v>
      </c>
      <c r="F49" t="s">
        <v>11</v>
      </c>
      <c r="G49" s="53">
        <f>INDEX(Details!$C$27:$N$27,MATCH($F49,Details!$C$25:$N$25,0))</f>
        <v>179000</v>
      </c>
      <c r="H49" s="53">
        <f>INDEX(Details!$O$27:$Z$27,MATCH($F49,Details!$O$25:$Z$25,0))</f>
        <v>180000</v>
      </c>
      <c r="K49" t="s">
        <v>11</v>
      </c>
      <c r="L49" s="53">
        <f>INDEX(Details!$C$28:$N$28,MATCH($K49,Details!$C$25:$N$25,0))</f>
        <v>327000</v>
      </c>
      <c r="M49" s="53">
        <f>INDEX(Details!$O$28:$Z$28,MATCH($K49,Details!$O$25:$Z$25,0))</f>
        <v>200000</v>
      </c>
    </row>
    <row r="50" spans="1:13" x14ac:dyDescent="0.35">
      <c r="A50" t="s">
        <v>12</v>
      </c>
      <c r="B50" s="53">
        <f>INDEX(Details!$C$26:$N$26,MATCH($A50,Details!$C$25:$N$25,0))</f>
        <v>114000</v>
      </c>
      <c r="C50" s="53">
        <f>INDEX(Details!$O$26:$Z$26,MATCH($A50,Details!$O$25:$Z$25,0))</f>
        <v>150000</v>
      </c>
      <c r="F50" t="s">
        <v>12</v>
      </c>
      <c r="G50" s="53">
        <f>INDEX(Details!$C$27:$N$27,MATCH($F50,Details!$C$25:$N$25,0))</f>
        <v>364000</v>
      </c>
      <c r="H50" s="53">
        <f>INDEX(Details!$O$27:$Z$27,MATCH($F50,Details!$O$25:$Z$25,0))</f>
        <v>200000</v>
      </c>
      <c r="K50" t="s">
        <v>12</v>
      </c>
      <c r="L50" s="53">
        <f>INDEX(Details!$C$28:$N$28,MATCH($K50,Details!$C$25:$N$25,0))</f>
        <v>410000</v>
      </c>
      <c r="M50" s="53">
        <f>INDEX(Details!$O$28:$Z$28,MATCH($K50,Details!$O$25:$Z$25,0))</f>
        <v>200000</v>
      </c>
    </row>
    <row r="51" spans="1:13" x14ac:dyDescent="0.35">
      <c r="A51" t="s">
        <v>13</v>
      </c>
      <c r="B51" s="53">
        <f>INDEX(Details!$C$26:$N$26,MATCH($A51,Details!$C$25:$N$25,0))</f>
        <v>104000</v>
      </c>
      <c r="C51" s="53">
        <f>INDEX(Details!$O$26:$Z$26,MATCH($A51,Details!$O$25:$Z$25,0))</f>
        <v>150000</v>
      </c>
      <c r="F51" t="s">
        <v>13</v>
      </c>
      <c r="G51" s="53">
        <f>INDEX(Details!$C$27:$N$27,MATCH($F51,Details!$C$25:$N$25,0))</f>
        <v>196000</v>
      </c>
      <c r="H51" s="53">
        <f>INDEX(Details!$O$27:$Z$27,MATCH($F51,Details!$O$25:$Z$25,0))</f>
        <v>150000</v>
      </c>
      <c r="K51" t="s">
        <v>13</v>
      </c>
      <c r="L51" s="53">
        <f>INDEX(Details!$C$28:$N$28,MATCH($K51,Details!$C$25:$N$25,0))</f>
        <v>215000</v>
      </c>
      <c r="M51" s="53">
        <f>INDEX(Details!$O$28:$Z$28,MATCH($K51,Details!$O$25:$Z$25,0))</f>
        <v>200000</v>
      </c>
    </row>
    <row r="52" spans="1:13" x14ac:dyDescent="0.35">
      <c r="A52" t="s">
        <v>14</v>
      </c>
      <c r="B52" s="53">
        <f>INDEX(Details!$C$26:$N$26,MATCH($A52,Details!$C$25:$N$25,0))</f>
        <v>108000</v>
      </c>
      <c r="C52" s="53">
        <f>INDEX(Details!$O$26:$Z$26,MATCH($A52,Details!$O$25:$Z$25,0))</f>
        <v>150000</v>
      </c>
      <c r="F52" t="s">
        <v>14</v>
      </c>
      <c r="G52" s="53">
        <f>INDEX(Details!$C$27:$N$27,MATCH($F52,Details!$C$25:$N$25,0))</f>
        <v>174000</v>
      </c>
      <c r="H52" s="53">
        <f>INDEX(Details!$O$27:$Z$27,MATCH($F52,Details!$O$25:$Z$25,0))</f>
        <v>200000</v>
      </c>
      <c r="K52" t="s">
        <v>14</v>
      </c>
      <c r="L52" s="53">
        <f>INDEX(Details!$C$28:$N$28,MATCH($K52,Details!$C$25:$N$25,0))</f>
        <v>138000</v>
      </c>
      <c r="M52" s="53">
        <f>INDEX(Details!$O$28:$Z$28,MATCH($K52,Details!$O$25:$Z$25,0))</f>
        <v>150000</v>
      </c>
    </row>
    <row r="53" spans="1:13" x14ac:dyDescent="0.35">
      <c r="A53" t="s">
        <v>15</v>
      </c>
      <c r="B53" s="53">
        <f>INDEX(Details!$C$26:$N$26,MATCH($A53,Details!$C$25:$N$25,0))</f>
        <v>192000</v>
      </c>
      <c r="C53" s="53">
        <f>INDEX(Details!$O$26:$Z$26,MATCH($A53,Details!$O$25:$Z$25,0))</f>
        <v>200000</v>
      </c>
      <c r="F53" t="s">
        <v>15</v>
      </c>
      <c r="G53" s="53">
        <f>INDEX(Details!$C$27:$N$27,MATCH($F53,Details!$C$25:$N$25,0))</f>
        <v>195000</v>
      </c>
      <c r="H53" s="53">
        <f>INDEX(Details!$O$27:$Z$27,MATCH($F53,Details!$O$25:$Z$25,0))</f>
        <v>200000</v>
      </c>
      <c r="K53" t="s">
        <v>15</v>
      </c>
      <c r="L53" s="53">
        <f>INDEX(Details!$C$28:$N$28,MATCH($K53,Details!$C$25:$N$25,0))</f>
        <v>319000</v>
      </c>
      <c r="M53" s="53">
        <f>INDEX(Details!$O$28:$Z$28,MATCH($K53,Details!$O$25:$Z$25,0))</f>
        <v>200000</v>
      </c>
    </row>
    <row r="54" spans="1:13" x14ac:dyDescent="0.35">
      <c r="A54" t="s">
        <v>25</v>
      </c>
      <c r="F54" t="s">
        <v>25</v>
      </c>
      <c r="K54" t="s">
        <v>25</v>
      </c>
    </row>
    <row r="55" spans="1:13" x14ac:dyDescent="0.35">
      <c r="A55" t="s">
        <v>26</v>
      </c>
      <c r="F55" t="s">
        <v>26</v>
      </c>
      <c r="K55" t="s">
        <v>26</v>
      </c>
    </row>
    <row r="56" spans="1:13" x14ac:dyDescent="0.35">
      <c r="A56" t="s">
        <v>27</v>
      </c>
      <c r="F56" t="s">
        <v>27</v>
      </c>
      <c r="K56" t="s">
        <v>27</v>
      </c>
    </row>
    <row r="57" spans="1:13" x14ac:dyDescent="0.35">
      <c r="A57" t="s">
        <v>28</v>
      </c>
      <c r="F57" t="s">
        <v>28</v>
      </c>
      <c r="K57" t="s">
        <v>28</v>
      </c>
    </row>
  </sheetData>
  <phoneticPr fontId="4" type="noConversion"/>
  <pageMargins left="0.7" right="0.7" top="0.75" bottom="0.75" header="0.3" footer="0.3"/>
  <ignoredErrors>
    <ignoredError sqref="G12:H19 L12:M19 B29:M36 B46:M53" calculatedColumn="1"/>
  </ignoredErrors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1727-3A0B-45F9-AF34-3C664926932D}">
  <dimension ref="B2:AX47"/>
  <sheetViews>
    <sheetView showGridLines="0" topLeftCell="AC1" zoomScale="70" zoomScaleNormal="70" workbookViewId="0">
      <selection activeCell="AG27" sqref="AG27"/>
    </sheetView>
  </sheetViews>
  <sheetFormatPr defaultRowHeight="14.5" x14ac:dyDescent="0.35"/>
  <cols>
    <col min="2" max="2" width="14.1796875" bestFit="1" customWidth="1"/>
    <col min="3" max="50" width="10.6328125" customWidth="1"/>
  </cols>
  <sheetData>
    <row r="2" spans="2:50" x14ac:dyDescent="0.35">
      <c r="B2" s="24" t="s">
        <v>19</v>
      </c>
    </row>
    <row r="4" spans="2:50" x14ac:dyDescent="0.35">
      <c r="B4" s="25" t="s">
        <v>32</v>
      </c>
      <c r="C4" s="21" t="s">
        <v>2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  <c r="O4" s="21" t="s">
        <v>23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3"/>
      <c r="AA4" s="21" t="s">
        <v>24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3"/>
      <c r="AM4" s="21" t="s">
        <v>20</v>
      </c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3"/>
    </row>
    <row r="5" spans="2:50" x14ac:dyDescent="0.35">
      <c r="B5" s="46" t="s">
        <v>1</v>
      </c>
      <c r="C5" s="38" t="str">
        <f>'Order Accepted'!F11</f>
        <v>Jan</v>
      </c>
      <c r="D5" s="38" t="str">
        <f>'Order Accepted'!G4</f>
        <v>Feb</v>
      </c>
      <c r="E5" s="38" t="str">
        <f>'Order Accepted'!H4</f>
        <v>Mar</v>
      </c>
      <c r="F5" s="38" t="str">
        <f>'Order Accepted'!I4</f>
        <v>Apr</v>
      </c>
      <c r="G5" s="38" t="str">
        <f>'Order Accepted'!J4</f>
        <v>May</v>
      </c>
      <c r="H5" s="38" t="str">
        <f>'Order Accepted'!K4</f>
        <v>Jun</v>
      </c>
      <c r="I5" s="38" t="str">
        <f>'Order Accepted'!L4</f>
        <v>Jul</v>
      </c>
      <c r="J5" s="39" t="str">
        <f>'Order Accepted'!M4</f>
        <v>Aug</v>
      </c>
      <c r="K5" s="40"/>
      <c r="L5" s="40"/>
      <c r="M5" s="40"/>
      <c r="N5" s="40"/>
      <c r="O5" s="40" t="str">
        <f>OA_Target!F4</f>
        <v>Jan</v>
      </c>
      <c r="P5" s="40" t="str">
        <f>OA_Target!G4</f>
        <v>Feb</v>
      </c>
      <c r="Q5" s="40" t="str">
        <f>OA_Target!H4</f>
        <v>Mar</v>
      </c>
      <c r="R5" s="40" t="str">
        <f>OA_Target!I4</f>
        <v>Apr</v>
      </c>
      <c r="S5" s="40" t="str">
        <f>OA_Target!J4</f>
        <v>May</v>
      </c>
      <c r="T5" s="40" t="str">
        <f>OA_Target!K4</f>
        <v>Jun</v>
      </c>
      <c r="U5" s="40" t="str">
        <f>OA_Target!L4</f>
        <v>Jul</v>
      </c>
      <c r="V5" s="40" t="str">
        <f>OA_Target!M4</f>
        <v>Aug</v>
      </c>
      <c r="W5" s="40"/>
      <c r="X5" s="40"/>
      <c r="Y5" s="40"/>
      <c r="Z5" s="40"/>
      <c r="AA5" s="41" t="s">
        <v>8</v>
      </c>
      <c r="AB5" s="41" t="s">
        <v>9</v>
      </c>
      <c r="AC5" s="41" t="s">
        <v>10</v>
      </c>
      <c r="AD5" s="41" t="s">
        <v>11</v>
      </c>
      <c r="AE5" s="41" t="s">
        <v>12</v>
      </c>
      <c r="AF5" s="41" t="s">
        <v>13</v>
      </c>
      <c r="AG5" s="41" t="s">
        <v>14</v>
      </c>
      <c r="AH5" s="41" t="s">
        <v>15</v>
      </c>
      <c r="AI5" s="40" t="s">
        <v>25</v>
      </c>
      <c r="AJ5" s="40" t="s">
        <v>26</v>
      </c>
      <c r="AK5" s="40" t="s">
        <v>27</v>
      </c>
      <c r="AL5" s="40" t="s">
        <v>28</v>
      </c>
      <c r="AM5" s="40" t="s">
        <v>8</v>
      </c>
      <c r="AN5" s="40" t="s">
        <v>9</v>
      </c>
      <c r="AO5" s="40" t="s">
        <v>10</v>
      </c>
      <c r="AP5" s="40" t="s">
        <v>11</v>
      </c>
      <c r="AQ5" s="40" t="s">
        <v>12</v>
      </c>
      <c r="AR5" s="40" t="s">
        <v>13</v>
      </c>
      <c r="AS5" s="40" t="s">
        <v>14</v>
      </c>
      <c r="AT5" s="40" t="s">
        <v>15</v>
      </c>
      <c r="AU5" s="40" t="s">
        <v>25</v>
      </c>
      <c r="AV5" s="40" t="s">
        <v>26</v>
      </c>
      <c r="AW5" s="40" t="s">
        <v>27</v>
      </c>
      <c r="AX5" s="40" t="s">
        <v>28</v>
      </c>
    </row>
    <row r="6" spans="2:50" x14ac:dyDescent="0.35">
      <c r="B6" s="37" t="s">
        <v>3</v>
      </c>
      <c r="C6" s="8">
        <f>INDEX('Order Accepted'!$F5:$N5,MATCH(C$5,'Order Accepted'!$F4:$N4,0))</f>
        <v>1250000</v>
      </c>
      <c r="D6" s="10">
        <f>INDEX('Order Accepted'!$F5:$N5,MATCH(D$5,'Order Accepted'!$F4:$N4,0))</f>
        <v>1320000</v>
      </c>
      <c r="E6" s="10">
        <f>INDEX('Order Accepted'!$F5:$N5,MATCH(E$5,'Order Accepted'!$F4:$N4,0))</f>
        <v>1410000</v>
      </c>
      <c r="F6" s="10">
        <f>INDEX('Order Accepted'!$F5:$N5,MATCH(F$5,'Order Accepted'!$F4:$N4,0))</f>
        <v>1500000</v>
      </c>
      <c r="G6" s="10">
        <f>INDEX('Order Accepted'!$F5:$N5,MATCH(G$5,'Order Accepted'!$F4:$N4,0))</f>
        <v>1430000</v>
      </c>
      <c r="H6" s="10">
        <f>INDEX('Order Accepted'!$F5:$N5,MATCH(H$5,'Order Accepted'!$F4:$N4,0))</f>
        <v>1600000</v>
      </c>
      <c r="I6" s="10">
        <f>INDEX('Order Accepted'!$F5:$N5,MATCH(I$5,'Order Accepted'!$F4:$N4,0))</f>
        <v>1540000</v>
      </c>
      <c r="J6" s="9">
        <f>INDEX('Order Accepted'!$F5:$N5,MATCH(J$5,'Order Accepted'!$F4:$N4,0))</f>
        <v>1680000</v>
      </c>
      <c r="K6" s="6"/>
      <c r="L6" s="6"/>
      <c r="M6" s="6"/>
      <c r="N6" s="7"/>
      <c r="O6" s="8">
        <f>INDEX(OA_Target!$F5:$N5,MATCH(C$5,OA_Target!$F4:$N4,0))</f>
        <v>1000000</v>
      </c>
      <c r="P6" s="10">
        <f>INDEX(OA_Target!$F5:$N5,MATCH(D$5,OA_Target!$F4:$N4,0))</f>
        <v>1620000</v>
      </c>
      <c r="Q6" s="10">
        <f>INDEX(OA_Target!$F5:$N5,MATCH(E$5,OA_Target!$F4:$N4,0))</f>
        <v>1510000</v>
      </c>
      <c r="R6" s="10">
        <f>INDEX(OA_Target!$F5:$N5,MATCH(F$5,OA_Target!$F4:$N4,0))</f>
        <v>1800000</v>
      </c>
      <c r="S6" s="10">
        <f>INDEX(OA_Target!$F5:$N5,MATCH(G$5,OA_Target!$F4:$N4,0))</f>
        <v>1600000</v>
      </c>
      <c r="T6" s="10">
        <f>INDEX(OA_Target!$F5:$N5,MATCH(H$5,OA_Target!$F4:$N4,0))</f>
        <v>1600000</v>
      </c>
      <c r="U6" s="10">
        <f>INDEX(OA_Target!$F5:$N5,MATCH(I$5,OA_Target!$F4:$N4,0))</f>
        <v>1800000</v>
      </c>
      <c r="V6" s="9">
        <f>INDEX(OA_Target!$F5:$N5,MATCH(J$5,OA_Target!$F4:$N4,0))</f>
        <v>1600000</v>
      </c>
      <c r="W6" s="6"/>
      <c r="X6" s="6"/>
      <c r="Y6" s="6"/>
      <c r="Z6" s="6"/>
      <c r="AA6" s="14">
        <f>C6/O6</f>
        <v>1.25</v>
      </c>
      <c r="AB6" s="15">
        <f t="shared" ref="AB6:AH9" si="0">D6/P6</f>
        <v>0.81481481481481477</v>
      </c>
      <c r="AC6" s="15">
        <f t="shared" si="0"/>
        <v>0.93377483443708609</v>
      </c>
      <c r="AD6" s="15">
        <f t="shared" si="0"/>
        <v>0.83333333333333337</v>
      </c>
      <c r="AE6" s="15">
        <f t="shared" si="0"/>
        <v>0.89375000000000004</v>
      </c>
      <c r="AF6" s="15">
        <f t="shared" si="0"/>
        <v>1</v>
      </c>
      <c r="AG6" s="15">
        <f t="shared" si="0"/>
        <v>0.85555555555555551</v>
      </c>
      <c r="AH6" s="15">
        <f t="shared" si="0"/>
        <v>1.05</v>
      </c>
      <c r="AI6" s="6"/>
      <c r="AJ6" s="6"/>
      <c r="AK6" s="6"/>
      <c r="AL6" s="7"/>
      <c r="AM6" s="13">
        <f>SUM($C6:INDEX($C6:$N6,1,MATCH(AM$5,$C$5:$N$5,0)))/SUM($O6:INDEX($O6:$Z6,1,MATCH(AM$5,$O$5:$Z$5,0)))</f>
        <v>1.25</v>
      </c>
      <c r="AN6" s="13">
        <f>SUM($C6:INDEX($C6:$N6,1,MATCH(AN$5,$C$5:$N$5,0)))/SUM($O6:INDEX($O6:$Z6,1,MATCH(AN$5,$O$5:$Z$5,0)))</f>
        <v>0.98091603053435117</v>
      </c>
      <c r="AO6" s="13">
        <f>SUM($C6:INDEX($C6:$N6,1,MATCH(AO$5,$C$5:$N$5,0)))/SUM($O6:INDEX($O6:$Z6,1,MATCH(AO$5,$O$5:$Z$5,0)))</f>
        <v>0.96368038740920092</v>
      </c>
      <c r="AP6" s="13">
        <f>SUM($C6:INDEX($C6:$N6,1,MATCH(AP$5,$C$5:$N$5,0)))/SUM($O6:INDEX($O6:$Z6,1,MATCH(AP$5,$O$5:$Z$5,0)))</f>
        <v>0.92411467116357504</v>
      </c>
      <c r="AQ6" s="13">
        <f>SUM($C6:INDEX($C6:$N6,1,MATCH(AQ$5,$C$5:$N$5,0)))/SUM($O6:INDEX($O6:$Z6,1,MATCH(AQ$5,$O$5:$Z$5,0)))</f>
        <v>0.91766268260292161</v>
      </c>
      <c r="AR6" s="13">
        <f>SUM($C6:INDEX($C6:$N6,1,MATCH(AR$5,$C$5:$N$5,0)))/SUM($O6:INDEX($O6:$Z6,1,MATCH(AR$5,$O$5:$Z$5,0)))</f>
        <v>0.93209200438116102</v>
      </c>
      <c r="AS6" s="13">
        <f>SUM($C6:INDEX($C6:$N6,1,MATCH(AS$5,$C$5:$N$5,0)))/SUM($O6:INDEX($O6:$Z6,1,MATCH(AS$5,$O$5:$Z$5,0)))</f>
        <v>0.91948764867337607</v>
      </c>
      <c r="AT6" s="13">
        <f>SUM($C6:INDEX($C6:$N6,1,MATCH(AT$5,$C$5:$N$5,0)))/SUM($O6:INDEX($O6:$Z6,1,MATCH(AT$5,$O$5:$Z$5,0)))</f>
        <v>0.93615323224261771</v>
      </c>
      <c r="AU6" s="6"/>
      <c r="AV6" s="6"/>
      <c r="AW6" s="6"/>
      <c r="AX6" s="7"/>
    </row>
    <row r="7" spans="2:50" x14ac:dyDescent="0.35">
      <c r="B7" s="37" t="s">
        <v>4</v>
      </c>
      <c r="C7" s="11">
        <f>INDEX('Order Accepted'!$F12:$N12,MATCH(C$5,'Order Accepted'!$F11:$N11,0))</f>
        <v>980000</v>
      </c>
      <c r="D7" s="9">
        <f>INDEX('Order Accepted'!$F12:$N12,MATCH(D$5,'Order Accepted'!$F11:$N11,0))</f>
        <v>1080000</v>
      </c>
      <c r="E7" s="9">
        <f>INDEX('Order Accepted'!$F12:$N12,MATCH(E$5,'Order Accepted'!$F11:$N11,0))</f>
        <v>1160000</v>
      </c>
      <c r="F7" s="9">
        <f>INDEX('Order Accepted'!$F12:$N12,MATCH(F$5,'Order Accepted'!$F11:$N11,0))</f>
        <v>1210000</v>
      </c>
      <c r="G7" s="9">
        <f>INDEX('Order Accepted'!$F12:$N12,MATCH(G$5,'Order Accepted'!$F11:$N11,0))</f>
        <v>1170000</v>
      </c>
      <c r="H7" s="9">
        <f>INDEX('Order Accepted'!$F12:$N12,MATCH(H$5,'Order Accepted'!$F11:$N11,0))</f>
        <v>1280000</v>
      </c>
      <c r="I7" s="9">
        <f>INDEX('Order Accepted'!$F12:$N12,MATCH(I$5,'Order Accepted'!$F11:$N11,0))</f>
        <v>1240000</v>
      </c>
      <c r="J7" s="9">
        <f>INDEX('Order Accepted'!$F12:$N12,MATCH(J$5,'Order Accepted'!$F11:$N11,0))</f>
        <v>1350000</v>
      </c>
      <c r="K7" s="6"/>
      <c r="L7" s="6"/>
      <c r="M7" s="6"/>
      <c r="N7" s="7"/>
      <c r="O7" s="11">
        <f>INDEX(OA_Target!$F12:$N12,MATCH(O$5,OA_Target!$F11:$N11,0))</f>
        <v>950000</v>
      </c>
      <c r="P7" s="9">
        <f>INDEX(OA_Target!$F12:$N12,MATCH(P$5,OA_Target!$F11:$N11,0))</f>
        <v>1400000</v>
      </c>
      <c r="Q7" s="9">
        <f>INDEX(OA_Target!$F12:$N12,MATCH(Q$5,OA_Target!$F11:$N11,0))</f>
        <v>1350000</v>
      </c>
      <c r="R7" s="9">
        <f>INDEX(OA_Target!$F12:$N12,MATCH(R$5,OA_Target!$F11:$N11,0))</f>
        <v>1700000</v>
      </c>
      <c r="S7" s="9">
        <f>INDEX(OA_Target!$F12:$N12,MATCH(S$5,OA_Target!$F11:$N11,0))</f>
        <v>1300000</v>
      </c>
      <c r="T7" s="9">
        <f>INDEX(OA_Target!$F12:$N12,MATCH(T$5,OA_Target!$F11:$N11,0))</f>
        <v>1500000</v>
      </c>
      <c r="U7" s="9">
        <f>INDEX(OA_Target!$F12:$N12,MATCH(U$5,OA_Target!$F11:$N11,0))</f>
        <v>1400000</v>
      </c>
      <c r="V7" s="9">
        <f>INDEX(OA_Target!$F12:$N12,MATCH(V$5,OA_Target!$F11:$N11,0))</f>
        <v>1300000</v>
      </c>
      <c r="W7" s="6"/>
      <c r="X7" s="6"/>
      <c r="Y7" s="6"/>
      <c r="Z7" s="6"/>
      <c r="AA7" s="12">
        <f>C7/O7</f>
        <v>1.0315789473684212</v>
      </c>
      <c r="AB7" s="13">
        <f t="shared" si="0"/>
        <v>0.77142857142857146</v>
      </c>
      <c r="AC7" s="13">
        <f t="shared" si="0"/>
        <v>0.85925925925925928</v>
      </c>
      <c r="AD7" s="13">
        <f t="shared" si="0"/>
        <v>0.71176470588235297</v>
      </c>
      <c r="AE7" s="13">
        <f t="shared" si="0"/>
        <v>0.9</v>
      </c>
      <c r="AF7" s="13">
        <f t="shared" si="0"/>
        <v>0.85333333333333339</v>
      </c>
      <c r="AG7" s="13">
        <f t="shared" si="0"/>
        <v>0.88571428571428568</v>
      </c>
      <c r="AH7" s="13">
        <f t="shared" si="0"/>
        <v>1.0384615384615385</v>
      </c>
      <c r="AI7" s="6"/>
      <c r="AJ7" s="6"/>
      <c r="AK7" s="6"/>
      <c r="AL7" s="7"/>
      <c r="AM7" s="13">
        <f>SUM($C7:INDEX($C7:$N7,1,MATCH(AM$5,$C$5:$N$5,0)))/SUM($O7:INDEX($O7:$Z7,1,MATCH(AM$5,$O$5:$Z$5,0)))</f>
        <v>1.0315789473684212</v>
      </c>
      <c r="AN7" s="13">
        <f>SUM($C7:INDEX($C7:$N7,1,MATCH(AN$5,$C$5:$N$5,0)))/SUM($O7:INDEX($O7:$Z7,1,MATCH(AN$5,$O$5:$Z$5,0)))</f>
        <v>0.87659574468085111</v>
      </c>
      <c r="AO7" s="13">
        <f>SUM($C7:INDEX($C7:$N7,1,MATCH(AO$5,$C$5:$N$5,0)))/SUM($O7:INDEX($O7:$Z7,1,MATCH(AO$5,$O$5:$Z$5,0)))</f>
        <v>0.87027027027027026</v>
      </c>
      <c r="AP7" s="13">
        <f>SUM($C7:INDEX($C7:$N7,1,MATCH(AP$5,$C$5:$N$5,0)))/SUM($O7:INDEX($O7:$Z7,1,MATCH(AP$5,$O$5:$Z$5,0)))</f>
        <v>0.82037037037037042</v>
      </c>
      <c r="AQ7" s="13">
        <f>SUM($C7:INDEX($C7:$N7,1,MATCH(AQ$5,$C$5:$N$5,0)))/SUM($O7:INDEX($O7:$Z7,1,MATCH(AQ$5,$O$5:$Z$5,0)))</f>
        <v>0.83582089552238803</v>
      </c>
      <c r="AR7" s="13">
        <f>SUM($C7:INDEX($C7:$N7,1,MATCH(AR$5,$C$5:$N$5,0)))/SUM($O7:INDEX($O7:$Z7,1,MATCH(AR$5,$O$5:$Z$5,0)))</f>
        <v>0.83902439024390241</v>
      </c>
      <c r="AS7" s="13">
        <f>SUM($C7:INDEX($C7:$N7,1,MATCH(AS$5,$C$5:$N$5,0)))/SUM($O7:INDEX($O7:$Z7,1,MATCH(AS$5,$O$5:$Z$5,0)))</f>
        <v>0.84583333333333333</v>
      </c>
      <c r="AT7" s="13">
        <f>SUM($C7:INDEX($C7:$N7,1,MATCH(AT$5,$C$5:$N$5,0)))/SUM($O7:INDEX($O7:$Z7,1,MATCH(AT$5,$O$5:$Z$5,0)))</f>
        <v>0.86880733944954125</v>
      </c>
      <c r="AU7" s="6"/>
      <c r="AV7" s="6"/>
      <c r="AW7" s="6"/>
      <c r="AX7" s="7"/>
    </row>
    <row r="8" spans="2:50" x14ac:dyDescent="0.35">
      <c r="B8" s="37" t="s">
        <v>5</v>
      </c>
      <c r="C8" s="11">
        <f>INDEX('Order Accepted'!$F19:$N19,MATCH(C$5,'Order Accepted'!$F18:$N18,0))</f>
        <v>1450000</v>
      </c>
      <c r="D8" s="9">
        <f>INDEX('Order Accepted'!$F19:$N19,MATCH(D$5,'Order Accepted'!$F18:$N18,0))</f>
        <v>1580000</v>
      </c>
      <c r="E8" s="9">
        <f>INDEX('Order Accepted'!$F19:$N19,MATCH(E$5,'Order Accepted'!$F18:$N18,0))</f>
        <v>1720000</v>
      </c>
      <c r="F8" s="9">
        <f>INDEX('Order Accepted'!$F19:$N19,MATCH(F$5,'Order Accepted'!$F18:$N18,0))</f>
        <v>1810000</v>
      </c>
      <c r="G8" s="9">
        <f>INDEX('Order Accepted'!$F19:$N19,MATCH(G$5,'Order Accepted'!$F18:$N18,0))</f>
        <v>1690000</v>
      </c>
      <c r="H8" s="9">
        <f>INDEX('Order Accepted'!$F19:$N19,MATCH(H$5,'Order Accepted'!$F18:$N18,0))</f>
        <v>1910000</v>
      </c>
      <c r="I8" s="9">
        <f>INDEX('Order Accepted'!$F19:$N19,MATCH(I$5,'Order Accepted'!$F18:$N18,0))</f>
        <v>1840000</v>
      </c>
      <c r="J8" s="9">
        <f>INDEX('Order Accepted'!$F19:$N19,MATCH(J$5,'Order Accepted'!$F18:$N18,0))</f>
        <v>1980000</v>
      </c>
      <c r="K8" s="6"/>
      <c r="L8" s="6"/>
      <c r="M8" s="6"/>
      <c r="N8" s="7"/>
      <c r="O8" s="11">
        <f>INDEX(OA_Target!$F19:$N19,MATCH(O$5,OA_Target!$F18:$N18,0))</f>
        <v>1400000</v>
      </c>
      <c r="P8" s="9">
        <f>INDEX(OA_Target!$F19:$N19,MATCH(P$5,OA_Target!$F18:$N18,0))</f>
        <v>1700000</v>
      </c>
      <c r="Q8" s="9">
        <f>INDEX(OA_Target!$F19:$N19,MATCH(Q$5,OA_Target!$F18:$N18,0))</f>
        <v>1900000</v>
      </c>
      <c r="R8" s="9">
        <f>INDEX(OA_Target!$F19:$N19,MATCH(R$5,OA_Target!$F18:$N18,0))</f>
        <v>1800000</v>
      </c>
      <c r="S8" s="9">
        <f>INDEX(OA_Target!$F19:$N19,MATCH(S$5,OA_Target!$F18:$N18,0))</f>
        <v>1800000</v>
      </c>
      <c r="T8" s="9">
        <f>INDEX(OA_Target!$F19:$N19,MATCH(T$5,OA_Target!$F18:$N18,0))</f>
        <v>2000000</v>
      </c>
      <c r="U8" s="9">
        <f>INDEX(OA_Target!$F19:$N19,MATCH(U$5,OA_Target!$F18:$N18,0))</f>
        <v>2000000</v>
      </c>
      <c r="V8" s="9">
        <f>INDEX(OA_Target!$F19:$N19,MATCH(V$5,OA_Target!$F18:$N18,0))</f>
        <v>2000000</v>
      </c>
      <c r="W8" s="6"/>
      <c r="X8" s="6"/>
      <c r="Y8" s="6"/>
      <c r="Z8" s="6"/>
      <c r="AA8" s="12">
        <f t="shared" ref="AA8:AA9" si="1">C8/O8</f>
        <v>1.0357142857142858</v>
      </c>
      <c r="AB8" s="13">
        <f t="shared" si="0"/>
        <v>0.92941176470588238</v>
      </c>
      <c r="AC8" s="13">
        <f t="shared" si="0"/>
        <v>0.90526315789473688</v>
      </c>
      <c r="AD8" s="13">
        <f t="shared" si="0"/>
        <v>1.0055555555555555</v>
      </c>
      <c r="AE8" s="13">
        <f t="shared" si="0"/>
        <v>0.93888888888888888</v>
      </c>
      <c r="AF8" s="13">
        <f t="shared" si="0"/>
        <v>0.95499999999999996</v>
      </c>
      <c r="AG8" s="13">
        <f t="shared" si="0"/>
        <v>0.92</v>
      </c>
      <c r="AH8" s="13">
        <f t="shared" si="0"/>
        <v>0.99</v>
      </c>
      <c r="AI8" s="6"/>
      <c r="AJ8" s="6"/>
      <c r="AK8" s="6"/>
      <c r="AL8" s="7"/>
      <c r="AM8" s="13">
        <f>SUM($C8:INDEX($C8:$N8,1,MATCH(AM$5,$C$5:$N$5,0)))/SUM($O8:INDEX($O8:$Z8,1,MATCH(AM$5,$O$5:$Z$5,0)))</f>
        <v>1.0357142857142858</v>
      </c>
      <c r="AN8" s="13">
        <f>SUM($C8:INDEX($C8:$N8,1,MATCH(AN$5,$C$5:$N$5,0)))/SUM($O8:INDEX($O8:$Z8,1,MATCH(AN$5,$O$5:$Z$5,0)))</f>
        <v>0.97741935483870968</v>
      </c>
      <c r="AO8" s="13">
        <f>SUM($C8:INDEX($C8:$N8,1,MATCH(AO$5,$C$5:$N$5,0)))/SUM($O8:INDEX($O8:$Z8,1,MATCH(AO$5,$O$5:$Z$5,0)))</f>
        <v>0.95</v>
      </c>
      <c r="AP8" s="13">
        <f>SUM($C8:INDEX($C8:$N8,1,MATCH(AP$5,$C$5:$N$5,0)))/SUM($O8:INDEX($O8:$Z8,1,MATCH(AP$5,$O$5:$Z$5,0)))</f>
        <v>0.96470588235294119</v>
      </c>
      <c r="AQ8" s="13">
        <f>SUM($C8:INDEX($C8:$N8,1,MATCH(AQ$5,$C$5:$N$5,0)))/SUM($O8:INDEX($O8:$Z8,1,MATCH(AQ$5,$O$5:$Z$5,0)))</f>
        <v>0.95930232558139539</v>
      </c>
      <c r="AR8" s="13">
        <f>SUM($C8:INDEX($C8:$N8,1,MATCH(AR$5,$C$5:$N$5,0)))/SUM($O8:INDEX($O8:$Z8,1,MATCH(AR$5,$O$5:$Z$5,0)))</f>
        <v>0.95849056603773586</v>
      </c>
      <c r="AS8" s="13">
        <f>SUM($C8:INDEX($C8:$N8,1,MATCH(AS$5,$C$5:$N$5,0)))/SUM($O8:INDEX($O8:$Z8,1,MATCH(AS$5,$O$5:$Z$5,0)))</f>
        <v>0.95238095238095233</v>
      </c>
      <c r="AT8" s="13">
        <f>SUM($C8:INDEX($C8:$N8,1,MATCH(AT$5,$C$5:$N$5,0)))/SUM($O8:INDEX($O8:$Z8,1,MATCH(AT$5,$O$5:$Z$5,0)))</f>
        <v>0.95753424657534247</v>
      </c>
      <c r="AU8" s="6"/>
      <c r="AV8" s="6"/>
      <c r="AW8" s="6"/>
      <c r="AX8" s="7"/>
    </row>
    <row r="9" spans="2:50" x14ac:dyDescent="0.35">
      <c r="B9" s="44" t="s">
        <v>17</v>
      </c>
      <c r="C9" s="31">
        <f>INDEX('Order Accepted'!$F26:$N26,MATCH(C$5,'Order Accepted'!$F25:$N25,0))</f>
        <v>3680000</v>
      </c>
      <c r="D9" s="32">
        <f>INDEX('Order Accepted'!$F26:$N26,MATCH(D$5,'Order Accepted'!$F25:$N25,0))</f>
        <v>3980000</v>
      </c>
      <c r="E9" s="32">
        <f>INDEX('Order Accepted'!$F26:$N26,MATCH(E$5,'Order Accepted'!$F25:$N25,0))</f>
        <v>4290000</v>
      </c>
      <c r="F9" s="32">
        <f>INDEX('Order Accepted'!$F26:$N26,MATCH(F$5,'Order Accepted'!$F25:$N25,0))</f>
        <v>4520000</v>
      </c>
      <c r="G9" s="32">
        <f>INDEX('Order Accepted'!$F26:$N26,MATCH(G$5,'Order Accepted'!$F25:$N25,0))</f>
        <v>4290000</v>
      </c>
      <c r="H9" s="32">
        <f>INDEX('Order Accepted'!$F26:$N26,MATCH(H$5,'Order Accepted'!$F25:$N25,0))</f>
        <v>4790000</v>
      </c>
      <c r="I9" s="32">
        <f>INDEX('Order Accepted'!$F26:$N26,MATCH(I$5,'Order Accepted'!$F25:$N25,0))</f>
        <v>4620000</v>
      </c>
      <c r="J9" s="32">
        <f>INDEX('Order Accepted'!$F26:$N26,MATCH(J$5,'Order Accepted'!$F25:$N25,0))</f>
        <v>5010000</v>
      </c>
      <c r="K9" s="33"/>
      <c r="L9" s="33"/>
      <c r="M9" s="33"/>
      <c r="N9" s="34"/>
      <c r="O9" s="31">
        <f>INDEX(OA_Target!$F26:$N26,MATCH(O$5,OA_Target!$F25:$N25,0))</f>
        <v>3350000</v>
      </c>
      <c r="P9" s="32">
        <f>INDEX(OA_Target!$F26:$N26,MATCH(P$5,OA_Target!$F25:$N25,0))</f>
        <v>4720000</v>
      </c>
      <c r="Q9" s="32">
        <f>INDEX(OA_Target!$F26:$N26,MATCH(Q$5,OA_Target!$F25:$N25,0))</f>
        <v>4760000</v>
      </c>
      <c r="R9" s="32">
        <f>INDEX(OA_Target!$F26:$N26,MATCH(R$5,OA_Target!$F25:$N25,0))</f>
        <v>5300000</v>
      </c>
      <c r="S9" s="32">
        <f>INDEX(OA_Target!$F26:$N26,MATCH(S$5,OA_Target!$F25:$N25,0))</f>
        <v>4700000</v>
      </c>
      <c r="T9" s="32">
        <f>INDEX(OA_Target!$F26:$N26,MATCH(T$5,OA_Target!$F25:$N25,0))</f>
        <v>5100000</v>
      </c>
      <c r="U9" s="32">
        <f>INDEX(OA_Target!$F26:$N26,MATCH(U$5,OA_Target!$F25:$N25,0))</f>
        <v>5200000</v>
      </c>
      <c r="V9" s="32">
        <f>INDEX(OA_Target!$F26:$N26,MATCH(V$5,OA_Target!$F25:$N25,0))</f>
        <v>4900000</v>
      </c>
      <c r="W9" s="33"/>
      <c r="X9" s="33"/>
      <c r="Y9" s="33"/>
      <c r="Z9" s="33"/>
      <c r="AA9" s="35">
        <f t="shared" si="1"/>
        <v>1.0985074626865672</v>
      </c>
      <c r="AB9" s="36">
        <f t="shared" si="0"/>
        <v>0.84322033898305082</v>
      </c>
      <c r="AC9" s="36">
        <f t="shared" si="0"/>
        <v>0.90126050420168069</v>
      </c>
      <c r="AD9" s="36">
        <f t="shared" si="0"/>
        <v>0.85283018867924532</v>
      </c>
      <c r="AE9" s="36">
        <f t="shared" si="0"/>
        <v>0.91276595744680855</v>
      </c>
      <c r="AF9" s="36">
        <f t="shared" si="0"/>
        <v>0.9392156862745098</v>
      </c>
      <c r="AG9" s="36">
        <f t="shared" si="0"/>
        <v>0.88846153846153841</v>
      </c>
      <c r="AH9" s="36">
        <f t="shared" si="0"/>
        <v>1.0224489795918368</v>
      </c>
      <c r="AI9" s="33"/>
      <c r="AJ9" s="33"/>
      <c r="AK9" s="33"/>
      <c r="AL9" s="34"/>
      <c r="AM9" s="35">
        <f>SUM($C9:INDEX($C9:$N9,1,MATCH(AM$5,$C$5:$N$5,0)))/SUM($O9:INDEX($O9:$Z9,1,MATCH(AM$5,$O$5:$Z$5,0)))</f>
        <v>1.0985074626865672</v>
      </c>
      <c r="AN9" s="36">
        <f>SUM($C9:INDEX($C9:$N9,1,MATCH(AN$5,$C$5:$N$5,0)))/SUM($O9:INDEX($O9:$Z9,1,MATCH(AN$5,$O$5:$Z$5,0)))</f>
        <v>0.94919454770755884</v>
      </c>
      <c r="AO9" s="36">
        <f>SUM($C9:INDEX($C9:$N9,1,MATCH(AO$5,$C$5:$N$5,0)))/SUM($O9:INDEX($O9:$Z9,1,MATCH(AO$5,$O$5:$Z$5,0)))</f>
        <v>0.93141075604053003</v>
      </c>
      <c r="AP9" s="36">
        <f>SUM($C9:INDEX($C9:$N9,1,MATCH(AP$5,$C$5:$N$5,0)))/SUM($O9:INDEX($O9:$Z9,1,MATCH(AP$5,$O$5:$Z$5,0)))</f>
        <v>0.90843905129619418</v>
      </c>
      <c r="AQ9" s="36">
        <f>SUM($C9:INDEX($C9:$N9,1,MATCH(AQ$5,$C$5:$N$5,0)))/SUM($O9:INDEX($O9:$Z9,1,MATCH(AQ$5,$O$5:$Z$5,0)))</f>
        <v>0.90932982917214189</v>
      </c>
      <c r="AR9" s="36">
        <f>SUM($C9:INDEX($C9:$N9,1,MATCH(AR$5,$C$5:$N$5,0)))/SUM($O9:INDEX($O9:$Z9,1,MATCH(AR$5,$O$5:$Z$5,0)))</f>
        <v>0.91478696741854637</v>
      </c>
      <c r="AS9" s="36">
        <f>SUM($C9:INDEX($C9:$N9,1,MATCH(AS$5,$C$5:$N$5,0)))/SUM($O9:INDEX($O9:$Z9,1,MATCH(AS$5,$O$5:$Z$5,0)))</f>
        <v>0.91065499547238149</v>
      </c>
      <c r="AT9" s="36">
        <f>SUM($C9:INDEX($C9:$N9,1,MATCH(AT$5,$C$5:$N$5,0)))/SUM($O9:INDEX($O9:$Z9,1,MATCH(AT$5,$O$5:$Z$5,0)))</f>
        <v>0.92505916381803843</v>
      </c>
      <c r="AU9" s="33"/>
      <c r="AV9" s="33"/>
      <c r="AW9" s="33"/>
      <c r="AX9" s="34"/>
    </row>
    <row r="12" spans="2:50" x14ac:dyDescent="0.35">
      <c r="B12" s="24" t="s">
        <v>21</v>
      </c>
    </row>
    <row r="14" spans="2:50" x14ac:dyDescent="0.35">
      <c r="B14" s="25" t="s">
        <v>32</v>
      </c>
      <c r="C14" s="21" t="s">
        <v>2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  <c r="O14" s="21" t="s">
        <v>23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3"/>
      <c r="AA14" s="21" t="s">
        <v>24</v>
      </c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3"/>
      <c r="AM14" s="21" t="s">
        <v>20</v>
      </c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3"/>
    </row>
    <row r="15" spans="2:50" x14ac:dyDescent="0.35">
      <c r="B15" s="46" t="s">
        <v>1</v>
      </c>
      <c r="C15" s="40" t="str">
        <f>'Order Delivered'!F$4</f>
        <v>Jan</v>
      </c>
      <c r="D15" s="40" t="str">
        <f>'Order Delivered'!G$4</f>
        <v>Feb</v>
      </c>
      <c r="E15" s="40" t="str">
        <f>'Order Delivered'!H$4</f>
        <v>Mar</v>
      </c>
      <c r="F15" s="40" t="str">
        <f>'Order Delivered'!I$4</f>
        <v>Apr</v>
      </c>
      <c r="G15" s="40" t="str">
        <f>'Order Delivered'!J$4</f>
        <v>May</v>
      </c>
      <c r="H15" s="40" t="str">
        <f>'Order Delivered'!K$4</f>
        <v>Jun</v>
      </c>
      <c r="I15" s="40" t="str">
        <f>'Order Delivered'!L$4</f>
        <v>Jul</v>
      </c>
      <c r="J15" s="40" t="str">
        <f>'Order Delivered'!M$4</f>
        <v>Aug</v>
      </c>
      <c r="K15" s="40"/>
      <c r="L15" s="40"/>
      <c r="M15" s="40"/>
      <c r="N15" s="40"/>
      <c r="O15" s="40" t="str">
        <f>OD_Target!F4</f>
        <v>Jan</v>
      </c>
      <c r="P15" s="40" t="str">
        <f>OD_Target!G4</f>
        <v>Feb</v>
      </c>
      <c r="Q15" s="40" t="str">
        <f>OD_Target!H4</f>
        <v>Mar</v>
      </c>
      <c r="R15" s="40" t="str">
        <f>OD_Target!I4</f>
        <v>Apr</v>
      </c>
      <c r="S15" s="40" t="str">
        <f>OD_Target!J4</f>
        <v>May</v>
      </c>
      <c r="T15" s="40" t="str">
        <f>OD_Target!K4</f>
        <v>Jun</v>
      </c>
      <c r="U15" s="40" t="str">
        <f>OD_Target!L4</f>
        <v>Jul</v>
      </c>
      <c r="V15" s="40" t="str">
        <f>OD_Target!M4</f>
        <v>Aug</v>
      </c>
      <c r="W15" s="40"/>
      <c r="X15" s="40"/>
      <c r="Y15" s="40"/>
      <c r="Z15" s="40"/>
      <c r="AA15" s="41" t="s">
        <v>8</v>
      </c>
      <c r="AB15" s="41" t="s">
        <v>9</v>
      </c>
      <c r="AC15" s="41" t="s">
        <v>10</v>
      </c>
      <c r="AD15" s="41" t="s">
        <v>11</v>
      </c>
      <c r="AE15" s="41" t="s">
        <v>12</v>
      </c>
      <c r="AF15" s="41" t="s">
        <v>13</v>
      </c>
      <c r="AG15" s="41" t="s">
        <v>14</v>
      </c>
      <c r="AH15" s="41" t="s">
        <v>15</v>
      </c>
      <c r="AI15" s="40" t="s">
        <v>25</v>
      </c>
      <c r="AJ15" s="40" t="s">
        <v>26</v>
      </c>
      <c r="AK15" s="40" t="s">
        <v>27</v>
      </c>
      <c r="AL15" s="40" t="s">
        <v>28</v>
      </c>
      <c r="AM15" s="40" t="s">
        <v>8</v>
      </c>
      <c r="AN15" s="40" t="s">
        <v>9</v>
      </c>
      <c r="AO15" s="40" t="s">
        <v>10</v>
      </c>
      <c r="AP15" s="40" t="s">
        <v>11</v>
      </c>
      <c r="AQ15" s="40" t="s">
        <v>12</v>
      </c>
      <c r="AR15" s="40" t="s">
        <v>13</v>
      </c>
      <c r="AS15" s="40" t="s">
        <v>14</v>
      </c>
      <c r="AT15" s="40" t="s">
        <v>15</v>
      </c>
      <c r="AU15" s="40" t="s">
        <v>25</v>
      </c>
      <c r="AV15" s="40" t="s">
        <v>26</v>
      </c>
      <c r="AW15" s="40" t="s">
        <v>27</v>
      </c>
      <c r="AX15" s="40" t="s">
        <v>28</v>
      </c>
    </row>
    <row r="16" spans="2:50" x14ac:dyDescent="0.35">
      <c r="B16" s="37" t="s">
        <v>3</v>
      </c>
      <c r="C16" s="8">
        <f>INDEX('Order Delivered'!$F$5:$N$5, MATCH(C$15,'Order Delivered'!$F$4:$N$4,0))</f>
        <v>1138000</v>
      </c>
      <c r="D16" s="10">
        <f>INDEX('Order Delivered'!$F$5:$N$5, MATCH(D$15,'Order Delivered'!$F$4:$N$4,0))</f>
        <v>1214000</v>
      </c>
      <c r="E16" s="10">
        <f>INDEX('Order Delivered'!$F$5:$N$5, MATCH(E$15,'Order Delivered'!$F$4:$N$4,0))</f>
        <v>1311000</v>
      </c>
      <c r="F16" s="10">
        <f>INDEX('Order Delivered'!$F$5:$N$5, MATCH(F$15,'Order Delivered'!$F$4:$N$4,0))</f>
        <v>1425000</v>
      </c>
      <c r="G16" s="10">
        <f>INDEX('Order Delivered'!$F$5:$N$5, MATCH(G$15,'Order Delivered'!$F$4:$N$4,0))</f>
        <v>1316000</v>
      </c>
      <c r="H16" s="10">
        <f>INDEX('Order Delivered'!$F$5:$N$5, MATCH(H$15,'Order Delivered'!$F$4:$N$4,0))</f>
        <v>1504000</v>
      </c>
      <c r="I16" s="10">
        <f>INDEX('Order Delivered'!$F$5:$N$5, MATCH(I$15,'Order Delivered'!$F$4:$N$4,0))</f>
        <v>1432000</v>
      </c>
      <c r="J16" s="9">
        <f>INDEX('Order Delivered'!$F$5:$N$5, MATCH(J$15,'Order Delivered'!$F$4:$N$4,0))</f>
        <v>1596000</v>
      </c>
      <c r="K16" s="6"/>
      <c r="L16" s="6"/>
      <c r="M16" s="6"/>
      <c r="N16" s="7"/>
      <c r="O16" s="8">
        <f>INDEX(OD_Target!$F$5:$N$5, MATCH(O$15,OD_Target!$F$4:$N$4,0))</f>
        <v>1200000</v>
      </c>
      <c r="P16" s="10">
        <f>INDEX(OD_Target!$F$5:$N$5, MATCH(P$15,OD_Target!$F$4:$N$4,0))</f>
        <v>1300000</v>
      </c>
      <c r="Q16" s="10">
        <f>INDEX(OD_Target!$F$5:$N$5, MATCH(Q$15,OD_Target!$F$4:$N$4,0))</f>
        <v>1300000</v>
      </c>
      <c r="R16" s="10">
        <f>INDEX(OD_Target!$F$5:$N$5, MATCH(R$15,OD_Target!$F$4:$N$4,0))</f>
        <v>1500000</v>
      </c>
      <c r="S16" s="10">
        <f>INDEX(OD_Target!$F$5:$N$5, MATCH(S$15,OD_Target!$F$4:$N$4,0))</f>
        <v>1300000</v>
      </c>
      <c r="T16" s="10">
        <f>INDEX(OD_Target!$F$5:$N$5, MATCH(T$15,OD_Target!$F$4:$N$4,0))</f>
        <v>1600000</v>
      </c>
      <c r="U16" s="10">
        <f>INDEX(OD_Target!$F$5:$N$5, MATCH(U$15,OD_Target!$F$4:$N$4,0))</f>
        <v>1800000</v>
      </c>
      <c r="V16" s="9">
        <f>INDEX(OD_Target!$F$5:$N$5, MATCH(V$15,OD_Target!$F$4:$N$4,0))</f>
        <v>1600000</v>
      </c>
      <c r="W16" s="6"/>
      <c r="X16" s="6"/>
      <c r="Y16" s="6"/>
      <c r="Z16" s="7"/>
      <c r="AA16" s="14">
        <f>C16/O16</f>
        <v>0.94833333333333336</v>
      </c>
      <c r="AB16" s="15">
        <f t="shared" ref="AB16:AH19" si="2">D16/P16</f>
        <v>0.93384615384615388</v>
      </c>
      <c r="AC16" s="15">
        <f t="shared" si="2"/>
        <v>1.0084615384615385</v>
      </c>
      <c r="AD16" s="15">
        <f t="shared" si="2"/>
        <v>0.95</v>
      </c>
      <c r="AE16" s="15">
        <f t="shared" si="2"/>
        <v>1.0123076923076924</v>
      </c>
      <c r="AF16" s="15">
        <f t="shared" si="2"/>
        <v>0.94</v>
      </c>
      <c r="AG16" s="15">
        <f t="shared" si="2"/>
        <v>0.79555555555555557</v>
      </c>
      <c r="AH16" s="15">
        <f t="shared" si="2"/>
        <v>0.99750000000000005</v>
      </c>
      <c r="AI16" s="6"/>
      <c r="AJ16" s="6"/>
      <c r="AK16" s="6"/>
      <c r="AL16" s="7"/>
      <c r="AM16" s="13">
        <f>SUM($C16:INDEX($C16:$N16,1,MATCH(AM$5,$C$5:$N$5,0)))/SUM($O16:INDEX($O16:$Z16,1,MATCH(AM$5,$O$5:$Z$5,0)))</f>
        <v>0.94833333333333336</v>
      </c>
      <c r="AN16" s="13">
        <f>SUM($C16:INDEX($C16:$N16,1,MATCH(AN$5,$C$5:$N$5,0)))/SUM($O16:INDEX($O16:$Z16,1,MATCH(AN$5,$O$5:$Z$5,0)))</f>
        <v>0.94079999999999997</v>
      </c>
      <c r="AO16" s="13">
        <f>SUM($C16:INDEX($C16:$N16,1,MATCH(AO$5,$C$5:$N$5,0)))/SUM($O16:INDEX($O16:$Z16,1,MATCH(AO$5,$O$5:$Z$5,0)))</f>
        <v>0.96394736842105266</v>
      </c>
      <c r="AP16" s="13">
        <f>SUM($C16:INDEX($C16:$N16,1,MATCH(AP$5,$C$5:$N$5,0)))/SUM($O16:INDEX($O16:$Z16,1,MATCH(AP$5,$O$5:$Z$5,0)))</f>
        <v>0.96</v>
      </c>
      <c r="AQ16" s="13">
        <f>SUM($C16:INDEX($C16:$N16,1,MATCH(AQ$5,$C$5:$N$5,0)))/SUM($O16:INDEX($O16:$Z16,1,MATCH(AQ$5,$O$5:$Z$5,0)))</f>
        <v>0.97030303030303033</v>
      </c>
      <c r="AR16" s="13">
        <f>SUM($C16:INDEX($C16:$N16,1,MATCH(AR$5,$C$5:$N$5,0)))/SUM($O16:INDEX($O16:$Z16,1,MATCH(AR$5,$O$5:$Z$5,0)))</f>
        <v>0.96439024390243899</v>
      </c>
      <c r="AS16" s="13">
        <f>SUM($C16:INDEX($C16:$N16,1,MATCH(AS$5,$C$5:$N$5,0)))/SUM($O16:INDEX($O16:$Z16,1,MATCH(AS$5,$O$5:$Z$5,0)))</f>
        <v>0.93400000000000005</v>
      </c>
      <c r="AT16" s="13">
        <f>SUM($C16:INDEX($C16:$N16,1,MATCH(AT$5,$C$5:$N$5,0)))/SUM($O16:INDEX($O16:$Z16,1,MATCH(AT$5,$O$5:$Z$5,0)))</f>
        <v>0.94275862068965521</v>
      </c>
      <c r="AU16" s="6"/>
      <c r="AV16" s="6"/>
      <c r="AW16" s="6"/>
      <c r="AX16" s="7"/>
    </row>
    <row r="17" spans="2:50" x14ac:dyDescent="0.35">
      <c r="B17" s="37" t="s">
        <v>4</v>
      </c>
      <c r="C17" s="11">
        <f>INDEX('Order Delivered'!$F$12:$N$12, MATCH(C$15,'Order Delivered'!$F$11:$N$11,0))</f>
        <v>911000</v>
      </c>
      <c r="D17" s="9">
        <f>INDEX('Order Delivered'!$F$12:$N$12, MATCH(D$15,'Order Delivered'!$F$11:$N$11,0))</f>
        <v>1015000</v>
      </c>
      <c r="E17" s="9">
        <f>INDEX('Order Delivered'!$F$12:$N$12, MATCH(E$15,'Order Delivered'!$F$11:$N$11,0))</f>
        <v>1067000</v>
      </c>
      <c r="F17" s="9">
        <f>INDEX('Order Delivered'!$F$12:$N$12, MATCH(F$15,'Order Delivered'!$F$11:$N$11,0))</f>
        <v>1125000</v>
      </c>
      <c r="G17" s="9">
        <f>INDEX('Order Delivered'!$F$12:$N$12, MATCH(G$15,'Order Delivered'!$F$11:$N$11,0))</f>
        <v>1112000</v>
      </c>
      <c r="H17" s="9">
        <f>INDEX('Order Delivered'!$F$12:$N$12, MATCH(H$15,'Order Delivered'!$F$11:$N$11,0))</f>
        <v>1178000</v>
      </c>
      <c r="I17" s="9">
        <f>INDEX('Order Delivered'!$F$12:$N$12, MATCH(I$15,'Order Delivered'!$F$11:$N$11,0))</f>
        <v>1166000</v>
      </c>
      <c r="J17" s="9">
        <f>INDEX('Order Delivered'!$F$12:$N$12, MATCH(J$15,'Order Delivered'!$F$11:$N$11,0))</f>
        <v>1256000</v>
      </c>
      <c r="K17" s="6"/>
      <c r="L17" s="6"/>
      <c r="M17" s="6"/>
      <c r="N17" s="7"/>
      <c r="O17" s="11">
        <f>INDEX(OD_Target!$F$12:$N$12, MATCH(O$15,OD_Target!$F$11:$N$11,0))</f>
        <v>1000000</v>
      </c>
      <c r="P17" s="9">
        <f>INDEX(OD_Target!$F$12:$N$12, MATCH(P$15,OD_Target!$F$11:$N$11,0))</f>
        <v>1200000</v>
      </c>
      <c r="Q17" s="9">
        <f>INDEX(OD_Target!$F$12:$N$12, MATCH(Q$15,OD_Target!$F$11:$N$11,0))</f>
        <v>1100000</v>
      </c>
      <c r="R17" s="9">
        <f>INDEX(OD_Target!$F$12:$N$12, MATCH(R$15,OD_Target!$F$11:$N$11,0))</f>
        <v>1200000</v>
      </c>
      <c r="S17" s="9">
        <f>INDEX(OD_Target!$F$12:$N$12, MATCH(S$15,OD_Target!$F$11:$N$11,0))</f>
        <v>1200000</v>
      </c>
      <c r="T17" s="9">
        <f>INDEX(OD_Target!$F$12:$N$12, MATCH(T$15,OD_Target!$F$11:$N$11,0))</f>
        <v>1200000</v>
      </c>
      <c r="U17" s="9">
        <f>INDEX(OD_Target!$F$12:$N$12, MATCH(U$15,OD_Target!$F$11:$N$11,0))</f>
        <v>1200000</v>
      </c>
      <c r="V17" s="9">
        <f>INDEX(OD_Target!$F$12:$N$12, MATCH(V$15,OD_Target!$F$11:$N$11,0))</f>
        <v>1200000</v>
      </c>
      <c r="W17" s="6"/>
      <c r="X17" s="6"/>
      <c r="Y17" s="6"/>
      <c r="Z17" s="7"/>
      <c r="AA17" s="12">
        <f>C17/O17</f>
        <v>0.91100000000000003</v>
      </c>
      <c r="AB17" s="13">
        <f t="shared" si="2"/>
        <v>0.84583333333333333</v>
      </c>
      <c r="AC17" s="13">
        <f t="shared" si="2"/>
        <v>0.97</v>
      </c>
      <c r="AD17" s="13">
        <f t="shared" si="2"/>
        <v>0.9375</v>
      </c>
      <c r="AE17" s="13">
        <f t="shared" si="2"/>
        <v>0.92666666666666664</v>
      </c>
      <c r="AF17" s="13">
        <f t="shared" si="2"/>
        <v>0.98166666666666669</v>
      </c>
      <c r="AG17" s="13">
        <f t="shared" si="2"/>
        <v>0.97166666666666668</v>
      </c>
      <c r="AH17" s="13">
        <f t="shared" si="2"/>
        <v>1.0466666666666666</v>
      </c>
      <c r="AI17" s="6"/>
      <c r="AJ17" s="6"/>
      <c r="AK17" s="6"/>
      <c r="AL17" s="7"/>
      <c r="AM17" s="13">
        <f>SUM($C17:INDEX($C17:$N17,1,MATCH(AM$5,$C$5:$N$5,0)))/SUM($O17:INDEX($O17:$Z17,1,MATCH(AM$5,$O$5:$Z$5,0)))</f>
        <v>0.91100000000000003</v>
      </c>
      <c r="AN17" s="13">
        <f>SUM($C17:INDEX($C17:$N17,1,MATCH(AN$5,$C$5:$N$5,0)))/SUM($O17:INDEX($O17:$Z17,1,MATCH(AN$5,$O$5:$Z$5,0)))</f>
        <v>0.87545454545454549</v>
      </c>
      <c r="AO17" s="13">
        <f>SUM($C17:INDEX($C17:$N17,1,MATCH(AO$5,$C$5:$N$5,0)))/SUM($O17:INDEX($O17:$Z17,1,MATCH(AO$5,$O$5:$Z$5,0)))</f>
        <v>0.90696969696969698</v>
      </c>
      <c r="AP17" s="13">
        <f>SUM($C17:INDEX($C17:$N17,1,MATCH(AP$5,$C$5:$N$5,0)))/SUM($O17:INDEX($O17:$Z17,1,MATCH(AP$5,$O$5:$Z$5,0)))</f>
        <v>0.9151111111111111</v>
      </c>
      <c r="AQ17" s="13">
        <f>SUM($C17:INDEX($C17:$N17,1,MATCH(AQ$5,$C$5:$N$5,0)))/SUM($O17:INDEX($O17:$Z17,1,MATCH(AQ$5,$O$5:$Z$5,0)))</f>
        <v>0.91754385964912277</v>
      </c>
      <c r="AR17" s="13">
        <f>SUM($C17:INDEX($C17:$N17,1,MATCH(AR$5,$C$5:$N$5,0)))/SUM($O17:INDEX($O17:$Z17,1,MATCH(AR$5,$O$5:$Z$5,0)))</f>
        <v>0.92869565217391303</v>
      </c>
      <c r="AS17" s="13">
        <f>SUM($C17:INDEX($C17:$N17,1,MATCH(AS$5,$C$5:$N$5,0)))/SUM($O17:INDEX($O17:$Z17,1,MATCH(AS$5,$O$5:$Z$5,0)))</f>
        <v>0.93506172839506174</v>
      </c>
      <c r="AT17" s="13">
        <f>SUM($C17:INDEX($C17:$N17,1,MATCH(AT$5,$C$5:$N$5,0)))/SUM($O17:INDEX($O17:$Z17,1,MATCH(AT$5,$O$5:$Z$5,0)))</f>
        <v>0.94946236559139785</v>
      </c>
      <c r="AU17" s="6"/>
      <c r="AV17" s="6"/>
      <c r="AW17" s="6"/>
      <c r="AX17" s="7"/>
    </row>
    <row r="18" spans="2:50" x14ac:dyDescent="0.35">
      <c r="B18" s="37" t="s">
        <v>5</v>
      </c>
      <c r="C18" s="11">
        <f>INDEX('Order Delivered'!$F$19:$N$19, MATCH(C$15,'Order Delivered'!$F$18:$N$18,0))</f>
        <v>1305000</v>
      </c>
      <c r="D18" s="9">
        <f>INDEX('Order Delivered'!$F$19:$N$19, MATCH(D$15,'Order Delivered'!$F$18:$N$18,0))</f>
        <v>1438000</v>
      </c>
      <c r="E18" s="9">
        <f>INDEX('Order Delivered'!$F$19:$N$19, MATCH(E$15,'Order Delivered'!$F$18:$N$18,0))</f>
        <v>1617000</v>
      </c>
      <c r="F18" s="9">
        <f>INDEX('Order Delivered'!$F$19:$N$19, MATCH(F$15,'Order Delivered'!$F$18:$N$18,0))</f>
        <v>1665000</v>
      </c>
      <c r="G18" s="9">
        <f>INDEX('Order Delivered'!$F$19:$N$19, MATCH(G$15,'Order Delivered'!$F$18:$N$18,0))</f>
        <v>1572000</v>
      </c>
      <c r="H18" s="9">
        <f>INDEX('Order Delivered'!$F$19:$N$19, MATCH(H$15,'Order Delivered'!$F$18:$N$18,0))</f>
        <v>1814000</v>
      </c>
      <c r="I18" s="9">
        <f>INDEX('Order Delivered'!$F$19:$N$19, MATCH(I$15,'Order Delivered'!$F$18:$N$18,0))</f>
        <v>1693000</v>
      </c>
      <c r="J18" s="9">
        <f>INDEX('Order Delivered'!$F$19:$N$19, MATCH(J$15,'Order Delivered'!$F$18:$N$18,0))</f>
        <v>1861000</v>
      </c>
      <c r="K18" s="6"/>
      <c r="L18" s="6"/>
      <c r="M18" s="6"/>
      <c r="N18" s="7"/>
      <c r="O18" s="11">
        <f>INDEX(OD_Target!$F$19:$N$19, MATCH(O$15,OD_Target!$F$18:$N$18,0))</f>
        <v>1300000</v>
      </c>
      <c r="P18" s="9">
        <f>INDEX(OD_Target!$F$19:$N$19, MATCH(P$15,OD_Target!$F$18:$N$18,0))</f>
        <v>1400000</v>
      </c>
      <c r="Q18" s="9">
        <f>INDEX(OD_Target!$F$19:$N$19, MATCH(Q$15,OD_Target!$F$18:$N$18,0))</f>
        <v>1600000</v>
      </c>
      <c r="R18" s="9">
        <f>INDEX(OD_Target!$F$19:$N$19, MATCH(R$15,OD_Target!$F$18:$N$18,0))</f>
        <v>1600000</v>
      </c>
      <c r="S18" s="9">
        <f>INDEX(OD_Target!$F$19:$N$19, MATCH(S$15,OD_Target!$F$18:$N$18,0))</f>
        <v>1500000</v>
      </c>
      <c r="T18" s="9">
        <f>INDEX(OD_Target!$F$19:$N$19, MATCH(T$15,OD_Target!$F$18:$N$18,0))</f>
        <v>2000000</v>
      </c>
      <c r="U18" s="9">
        <f>INDEX(OD_Target!$F$19:$N$19, MATCH(U$15,OD_Target!$F$18:$N$18,0))</f>
        <v>1800000</v>
      </c>
      <c r="V18" s="9">
        <f>INDEX(OD_Target!$F$19:$N$19, MATCH(V$15,OD_Target!$F$18:$N$18,0))</f>
        <v>1800000</v>
      </c>
      <c r="W18" s="6"/>
      <c r="X18" s="6"/>
      <c r="Y18" s="6"/>
      <c r="Z18" s="7"/>
      <c r="AA18" s="12">
        <f t="shared" ref="AA18:AA19" si="3">C18/O18</f>
        <v>1.0038461538461538</v>
      </c>
      <c r="AB18" s="13">
        <f t="shared" si="2"/>
        <v>1.0271428571428571</v>
      </c>
      <c r="AC18" s="13">
        <f t="shared" si="2"/>
        <v>1.0106250000000001</v>
      </c>
      <c r="AD18" s="13">
        <f t="shared" si="2"/>
        <v>1.0406249999999999</v>
      </c>
      <c r="AE18" s="13">
        <f t="shared" si="2"/>
        <v>1.048</v>
      </c>
      <c r="AF18" s="13">
        <f t="shared" si="2"/>
        <v>0.90700000000000003</v>
      </c>
      <c r="AG18" s="13">
        <f t="shared" si="2"/>
        <v>0.94055555555555559</v>
      </c>
      <c r="AH18" s="13">
        <f t="shared" si="2"/>
        <v>1.0338888888888889</v>
      </c>
      <c r="AI18" s="6"/>
      <c r="AJ18" s="6"/>
      <c r="AK18" s="6"/>
      <c r="AL18" s="7"/>
      <c r="AM18" s="13">
        <f>SUM($C18:INDEX($C18:$N18,1,MATCH(AM$5,$C$5:$N$5,0)))/SUM($O18:INDEX($O18:$Z18,1,MATCH(AM$5,$O$5:$Z$5,0)))</f>
        <v>1.0038461538461538</v>
      </c>
      <c r="AN18" s="13">
        <f>SUM($C18:INDEX($C18:$N18,1,MATCH(AN$5,$C$5:$N$5,0)))/SUM($O18:INDEX($O18:$Z18,1,MATCH(AN$5,$O$5:$Z$5,0)))</f>
        <v>1.0159259259259259</v>
      </c>
      <c r="AO18" s="13">
        <f>SUM($C18:INDEX($C18:$N18,1,MATCH(AO$5,$C$5:$N$5,0)))/SUM($O18:INDEX($O18:$Z18,1,MATCH(AO$5,$O$5:$Z$5,0)))</f>
        <v>1.0139534883720931</v>
      </c>
      <c r="AP18" s="13">
        <f>SUM($C18:INDEX($C18:$N18,1,MATCH(AP$5,$C$5:$N$5,0)))/SUM($O18:INDEX($O18:$Z18,1,MATCH(AP$5,$O$5:$Z$5,0)))</f>
        <v>1.021186440677966</v>
      </c>
      <c r="AQ18" s="13">
        <f>SUM($C18:INDEX($C18:$N18,1,MATCH(AQ$5,$C$5:$N$5,0)))/SUM($O18:INDEX($O18:$Z18,1,MATCH(AQ$5,$O$5:$Z$5,0)))</f>
        <v>1.0266216216216215</v>
      </c>
      <c r="AR18" s="13">
        <f>SUM($C18:INDEX($C18:$N18,1,MATCH(AR$5,$C$5:$N$5,0)))/SUM($O18:INDEX($O18:$Z18,1,MATCH(AR$5,$O$5:$Z$5,0)))</f>
        <v>1.0011702127659574</v>
      </c>
      <c r="AS18" s="13">
        <f>SUM($C18:INDEX($C18:$N18,1,MATCH(AS$5,$C$5:$N$5,0)))/SUM($O18:INDEX($O18:$Z18,1,MATCH(AS$5,$O$5:$Z$5,0)))</f>
        <v>0.99142857142857144</v>
      </c>
      <c r="AT18" s="13">
        <f>SUM($C18:INDEX($C18:$N18,1,MATCH(AT$5,$C$5:$N$5,0)))/SUM($O18:INDEX($O18:$Z18,1,MATCH(AT$5,$O$5:$Z$5,0)))</f>
        <v>0.99730769230769234</v>
      </c>
      <c r="AU18" s="6"/>
      <c r="AV18" s="6"/>
      <c r="AW18" s="6"/>
      <c r="AX18" s="7"/>
    </row>
    <row r="19" spans="2:50" x14ac:dyDescent="0.35">
      <c r="B19" s="45" t="s">
        <v>17</v>
      </c>
      <c r="C19" s="31">
        <f>INDEX('Order Delivered'!$F$26:$N$26, MATCH(C$15,'Order Delivered'!$F$25:$N$25,0))</f>
        <v>3354000</v>
      </c>
      <c r="D19" s="32">
        <f>INDEX('Order Delivered'!$F$26:$N$26, MATCH(D$15,'Order Delivered'!$F$25:$N$25,0))</f>
        <v>3667000</v>
      </c>
      <c r="E19" s="32">
        <f>INDEX('Order Delivered'!$F$26:$N$26, MATCH(E$15,'Order Delivered'!$F$25:$N$25,0))</f>
        <v>3995000</v>
      </c>
      <c r="F19" s="32">
        <f>INDEX('Order Delivered'!$F$26:$N$26, MATCH(F$15,'Order Delivered'!$F$25:$N$25,0))</f>
        <v>4215000</v>
      </c>
      <c r="G19" s="32">
        <f>INDEX('Order Delivered'!$F$26:$N$26, MATCH(G$15,'Order Delivered'!$F$25:$N$25,0))</f>
        <v>4000000</v>
      </c>
      <c r="H19" s="32">
        <f>INDEX('Order Delivered'!$F$26:$N$26, MATCH(H$15,'Order Delivered'!$F$25:$N$25,0))</f>
        <v>4496000</v>
      </c>
      <c r="I19" s="32">
        <f>INDEX('Order Delivered'!$F$26:$N$26, MATCH(I$15,'Order Delivered'!$F$25:$N$25,0))</f>
        <v>4291000</v>
      </c>
      <c r="J19" s="32">
        <f>INDEX('Order Delivered'!$F$26:$N$26, MATCH(J$15,'Order Delivered'!$F$25:$N$25,0))</f>
        <v>4713000</v>
      </c>
      <c r="K19" s="33"/>
      <c r="L19" s="33"/>
      <c r="M19" s="33"/>
      <c r="N19" s="34"/>
      <c r="O19" s="31">
        <f>INDEX(OD_Target!$F$26:$N$26, MATCH(O$15,OD_Target!$F$25:$N$25,0))</f>
        <v>3500000</v>
      </c>
      <c r="P19" s="32">
        <f>INDEX(OD_Target!$F$26:$N$26, MATCH(P$15,OD_Target!$F$25:$N$25,0))</f>
        <v>3900000</v>
      </c>
      <c r="Q19" s="32">
        <f>INDEX(OD_Target!$F$26:$N$26, MATCH(Q$15,OD_Target!$F$25:$N$25,0))</f>
        <v>4000000</v>
      </c>
      <c r="R19" s="32">
        <f>INDEX(OD_Target!$F$26:$N$26, MATCH(R$15,OD_Target!$F$25:$N$25,0))</f>
        <v>4300000</v>
      </c>
      <c r="S19" s="32">
        <f>INDEX(OD_Target!$F$26:$N$26, MATCH(S$15,OD_Target!$F$25:$N$25,0))</f>
        <v>4000000</v>
      </c>
      <c r="T19" s="32">
        <f>INDEX(OD_Target!$F$26:$N$26, MATCH(T$15,OD_Target!$F$25:$N$25,0))</f>
        <v>4800000</v>
      </c>
      <c r="U19" s="32">
        <f>INDEX(OD_Target!$F$26:$N$26, MATCH(U$15,OD_Target!$F$25:$N$25,0))</f>
        <v>4800000</v>
      </c>
      <c r="V19" s="32">
        <f>INDEX(OD_Target!$F$26:$N$26, MATCH(V$15,OD_Target!$F$25:$N$25,0))</f>
        <v>4600000</v>
      </c>
      <c r="W19" s="33"/>
      <c r="X19" s="33"/>
      <c r="Y19" s="33"/>
      <c r="Z19" s="34"/>
      <c r="AA19" s="35">
        <f t="shared" si="3"/>
        <v>0.9582857142857143</v>
      </c>
      <c r="AB19" s="36">
        <f t="shared" si="2"/>
        <v>0.94025641025641027</v>
      </c>
      <c r="AC19" s="36">
        <f t="shared" si="2"/>
        <v>0.99875000000000003</v>
      </c>
      <c r="AD19" s="36">
        <f t="shared" si="2"/>
        <v>0.98023255813953492</v>
      </c>
      <c r="AE19" s="36">
        <f t="shared" si="2"/>
        <v>1</v>
      </c>
      <c r="AF19" s="36">
        <f t="shared" si="2"/>
        <v>0.93666666666666665</v>
      </c>
      <c r="AG19" s="36">
        <f t="shared" si="2"/>
        <v>0.8939583333333333</v>
      </c>
      <c r="AH19" s="36">
        <f t="shared" si="2"/>
        <v>1.0245652173913042</v>
      </c>
      <c r="AI19" s="33"/>
      <c r="AJ19" s="33"/>
      <c r="AK19" s="33"/>
      <c r="AL19" s="34"/>
      <c r="AM19" s="35">
        <f>SUM($C19:INDEX($C19:$N19,1,MATCH(AM$5,$C$5:$N$5,0)))/SUM($O19:INDEX($O19:$Z19,1,MATCH(AM$5,$O$5:$Z$5,0)))</f>
        <v>0.9582857142857143</v>
      </c>
      <c r="AN19" s="36">
        <f>SUM($C19:INDEX($C19:$N19,1,MATCH(AN$5,$C$5:$N$5,0)))/SUM($O19:INDEX($O19:$Z19,1,MATCH(AN$5,$O$5:$Z$5,0)))</f>
        <v>0.94878378378378381</v>
      </c>
      <c r="AO19" s="36">
        <f>SUM($C19:INDEX($C19:$N19,1,MATCH(AO$5,$C$5:$N$5,0)))/SUM($O19:INDEX($O19:$Z19,1,MATCH(AO$5,$O$5:$Z$5,0)))</f>
        <v>0.96631578947368424</v>
      </c>
      <c r="AP19" s="36">
        <f>SUM($C19:INDEX($C19:$N19,1,MATCH(AP$5,$C$5:$N$5,0)))/SUM($O19:INDEX($O19:$Z19,1,MATCH(AP$5,$O$5:$Z$5,0)))</f>
        <v>0.97012738853503189</v>
      </c>
      <c r="AQ19" s="36">
        <f>SUM($C19:INDEX($C19:$N19,1,MATCH(AQ$5,$C$5:$N$5,0)))/SUM($O19:INDEX($O19:$Z19,1,MATCH(AQ$5,$O$5:$Z$5,0)))</f>
        <v>0.97619289340101523</v>
      </c>
      <c r="AR19" s="36">
        <f>SUM($C19:INDEX($C19:$N19,1,MATCH(AR$5,$C$5:$N$5,0)))/SUM($O19:INDEX($O19:$Z19,1,MATCH(AR$5,$O$5:$Z$5,0)))</f>
        <v>0.96844897959183673</v>
      </c>
      <c r="AS19" s="36">
        <f>SUM($C19:INDEX($C19:$N19,1,MATCH(AS$5,$C$5:$N$5,0)))/SUM($O19:INDEX($O19:$Z19,1,MATCH(AS$5,$O$5:$Z$5,0)))</f>
        <v>0.95624573378839595</v>
      </c>
      <c r="AT19" s="36">
        <f>SUM($C19:INDEX($C19:$N19,1,MATCH(AT$5,$C$5:$N$5,0)))/SUM($O19:INDEX($O19:$Z19,1,MATCH(AT$5,$O$5:$Z$5,0)))</f>
        <v>0.96551622418879057</v>
      </c>
      <c r="AU19" s="33"/>
      <c r="AV19" s="33"/>
      <c r="AW19" s="33"/>
      <c r="AX19" s="34"/>
    </row>
    <row r="20" spans="2:50" x14ac:dyDescent="0.35">
      <c r="C20" s="6"/>
    </row>
    <row r="22" spans="2:50" x14ac:dyDescent="0.35">
      <c r="B22" s="24" t="s">
        <v>22</v>
      </c>
    </row>
    <row r="24" spans="2:50" x14ac:dyDescent="0.35">
      <c r="B24" s="25" t="s">
        <v>32</v>
      </c>
      <c r="C24" s="21" t="s">
        <v>2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/>
      <c r="O24" s="21" t="s">
        <v>23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3"/>
      <c r="AA24" s="21" t="s">
        <v>24</v>
      </c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3"/>
      <c r="AM24" s="21" t="s">
        <v>20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3"/>
    </row>
    <row r="25" spans="2:50" x14ac:dyDescent="0.35">
      <c r="B25" s="46" t="s">
        <v>1</v>
      </c>
      <c r="C25" s="40" t="str">
        <f>Churn!F4</f>
        <v>Jan</v>
      </c>
      <c r="D25" s="40" t="str">
        <f>Churn!G4</f>
        <v>Feb</v>
      </c>
      <c r="E25" s="40" t="str">
        <f>Churn!H4</f>
        <v>Mar</v>
      </c>
      <c r="F25" s="40" t="str">
        <f>Churn!I4</f>
        <v>Apr</v>
      </c>
      <c r="G25" s="40" t="str">
        <f>Churn!J4</f>
        <v>May</v>
      </c>
      <c r="H25" s="40" t="str">
        <f>Churn!K4</f>
        <v>Jun</v>
      </c>
      <c r="I25" s="40" t="str">
        <f>Churn!L4</f>
        <v>Jul</v>
      </c>
      <c r="J25" s="40" t="str">
        <f>Churn!M4</f>
        <v>Aug</v>
      </c>
      <c r="K25" s="40"/>
      <c r="L25" s="40"/>
      <c r="M25" s="40"/>
      <c r="N25" s="40"/>
      <c r="O25" s="40" t="str">
        <f>'Churn_Target'!F4</f>
        <v>Jan</v>
      </c>
      <c r="P25" s="40" t="str">
        <f>'Churn_Target'!G4</f>
        <v>Feb</v>
      </c>
      <c r="Q25" s="40" t="str">
        <f>'Churn_Target'!H4</f>
        <v>Mar</v>
      </c>
      <c r="R25" s="40" t="str">
        <f>'Churn_Target'!I4</f>
        <v>Apr</v>
      </c>
      <c r="S25" s="40" t="str">
        <f>'Churn_Target'!J4</f>
        <v>May</v>
      </c>
      <c r="T25" s="40" t="str">
        <f>'Churn_Target'!K4</f>
        <v>Jun</v>
      </c>
      <c r="U25" s="40" t="str">
        <f>'Churn_Target'!L4</f>
        <v>Jul</v>
      </c>
      <c r="V25" s="40" t="str">
        <f>'Churn_Target'!M4</f>
        <v>Aug</v>
      </c>
      <c r="W25" s="40"/>
      <c r="X25" s="40"/>
      <c r="Y25" s="40"/>
      <c r="Z25" s="40"/>
      <c r="AA25" s="41" t="s">
        <v>8</v>
      </c>
      <c r="AB25" s="41" t="s">
        <v>9</v>
      </c>
      <c r="AC25" s="41" t="s">
        <v>10</v>
      </c>
      <c r="AD25" s="41" t="s">
        <v>11</v>
      </c>
      <c r="AE25" s="41" t="s">
        <v>12</v>
      </c>
      <c r="AF25" s="41" t="s">
        <v>13</v>
      </c>
      <c r="AG25" s="41" t="s">
        <v>14</v>
      </c>
      <c r="AH25" s="41" t="s">
        <v>15</v>
      </c>
      <c r="AI25" s="40" t="s">
        <v>25</v>
      </c>
      <c r="AJ25" s="40" t="s">
        <v>26</v>
      </c>
      <c r="AK25" s="40" t="s">
        <v>27</v>
      </c>
      <c r="AL25" s="40" t="s">
        <v>28</v>
      </c>
      <c r="AM25" s="40" t="s">
        <v>8</v>
      </c>
      <c r="AN25" s="40" t="s">
        <v>9</v>
      </c>
      <c r="AO25" s="40" t="s">
        <v>10</v>
      </c>
      <c r="AP25" s="40" t="s">
        <v>11</v>
      </c>
      <c r="AQ25" s="40" t="s">
        <v>12</v>
      </c>
      <c r="AR25" s="40" t="s">
        <v>13</v>
      </c>
      <c r="AS25" s="40" t="s">
        <v>14</v>
      </c>
      <c r="AT25" s="40" t="s">
        <v>15</v>
      </c>
      <c r="AU25" s="40" t="s">
        <v>25</v>
      </c>
      <c r="AV25" s="40" t="s">
        <v>26</v>
      </c>
      <c r="AW25" s="40" t="s">
        <v>27</v>
      </c>
      <c r="AX25" s="40" t="s">
        <v>28</v>
      </c>
    </row>
    <row r="26" spans="2:50" x14ac:dyDescent="0.35">
      <c r="B26" s="37" t="s">
        <v>3</v>
      </c>
      <c r="C26" s="8">
        <f>INDEX(Churn!$F$5:$N$5,MATCH(C$25,Churn!$F$4:$N$4,0))</f>
        <v>104000</v>
      </c>
      <c r="D26" s="10">
        <f>INDEX(Churn!$F$5:$N$5,MATCH(D$25,Churn!$F$4:$N$4,0))</f>
        <v>102000</v>
      </c>
      <c r="E26" s="10">
        <f>INDEX(Churn!$F$5:$N$5,MATCH(E$25,Churn!$F$4:$N$4,0))</f>
        <v>128000</v>
      </c>
      <c r="F26" s="10">
        <f>INDEX(Churn!$F$5:$N$5,MATCH(F$25,Churn!$F$4:$N$4,0))</f>
        <v>90000</v>
      </c>
      <c r="G26" s="10">
        <f>INDEX(Churn!$F$5:$N$5,MATCH(G$25,Churn!$F$4:$N$4,0))</f>
        <v>114000</v>
      </c>
      <c r="H26" s="10">
        <f>INDEX(Churn!$F$5:$N$5,MATCH(H$25,Churn!$F$4:$N$4,0))</f>
        <v>104000</v>
      </c>
      <c r="I26" s="10">
        <f>INDEX(Churn!$F$5:$N$5,MATCH(I$25,Churn!$F$4:$N$4,0))</f>
        <v>108000</v>
      </c>
      <c r="J26" s="9">
        <f>INDEX(Churn!$F$5:$N$5,MATCH(J$25,Churn!$F$4:$N$4,0))</f>
        <v>192000</v>
      </c>
      <c r="K26" s="6"/>
      <c r="L26" s="6"/>
      <c r="M26" s="6"/>
      <c r="N26" s="7"/>
      <c r="O26" s="8">
        <f>INDEX('Churn_Target'!$F$5:$N$5,MATCH(O$25,'Churn_Target'!$F$4:$N$4,0))</f>
        <v>100000</v>
      </c>
      <c r="P26" s="10">
        <f>INDEX('Churn_Target'!$F$5:$N$5,MATCH(P$25,'Churn_Target'!$F$4:$N$4,0))</f>
        <v>100000</v>
      </c>
      <c r="Q26" s="10">
        <f>INDEX('Churn_Target'!$F$5:$N$5,MATCH(Q$25,'Churn_Target'!$F$4:$N$4,0))</f>
        <v>120000</v>
      </c>
      <c r="R26" s="10">
        <f>INDEX('Churn_Target'!$F$5:$N$5,MATCH(R$25,'Churn_Target'!$F$4:$N$4,0))</f>
        <v>100000</v>
      </c>
      <c r="S26" s="10">
        <f>INDEX('Churn_Target'!$F$5:$N$5,MATCH(S$25,'Churn_Target'!$F$4:$N$4,0))</f>
        <v>150000</v>
      </c>
      <c r="T26" s="10">
        <f>INDEX('Churn_Target'!$F$5:$N$5,MATCH(T$25,'Churn_Target'!$F$4:$N$4,0))</f>
        <v>150000</v>
      </c>
      <c r="U26" s="10">
        <f>INDEX('Churn_Target'!$F$5:$N$5,MATCH(U$25,'Churn_Target'!$F$4:$N$4,0))</f>
        <v>150000</v>
      </c>
      <c r="V26" s="9">
        <f>INDEX('Churn_Target'!$F$5:$N$5,MATCH(V$25,'Churn_Target'!$F$4:$N$4,0))</f>
        <v>200000</v>
      </c>
      <c r="W26" s="6"/>
      <c r="X26" s="6"/>
      <c r="Y26" s="6"/>
      <c r="Z26" s="7"/>
      <c r="AA26" s="14">
        <f>C26/O26</f>
        <v>1.04</v>
      </c>
      <c r="AB26" s="15">
        <f t="shared" ref="AB26:AB29" si="4">D26/P26</f>
        <v>1.02</v>
      </c>
      <c r="AC26" s="15">
        <f t="shared" ref="AC26:AC29" si="5">E26/Q26</f>
        <v>1.0666666666666667</v>
      </c>
      <c r="AD26" s="15">
        <f t="shared" ref="AD26:AD29" si="6">F26/R26</f>
        <v>0.9</v>
      </c>
      <c r="AE26" s="15">
        <f t="shared" ref="AE26:AE29" si="7">G26/S26</f>
        <v>0.76</v>
      </c>
      <c r="AF26" s="15">
        <f t="shared" ref="AF26:AF29" si="8">H26/T26</f>
        <v>0.69333333333333336</v>
      </c>
      <c r="AG26" s="15">
        <f t="shared" ref="AG26:AG29" si="9">I26/U26</f>
        <v>0.72</v>
      </c>
      <c r="AH26" s="15">
        <f t="shared" ref="AH26:AH29" si="10">J26/V26</f>
        <v>0.96</v>
      </c>
      <c r="AI26" s="6"/>
      <c r="AJ26" s="6"/>
      <c r="AK26" s="6"/>
      <c r="AL26" s="7"/>
      <c r="AM26" s="13">
        <f>SUM($C26:INDEX($C26:$N26,1,MATCH(AM$5,$C$5:$N$5,0)))/SUM($O26:INDEX($O26:$Z26,1,MATCH(AM$5,$O$5:$Z$5,0)))</f>
        <v>1.04</v>
      </c>
      <c r="AN26" s="13">
        <f>SUM($C26:INDEX($C26:$N26,1,MATCH(AN$5,$C$5:$N$5,0)))/SUM($O26:INDEX($O26:$Z26,1,MATCH(AN$5,$O$5:$Z$5,0)))</f>
        <v>1.03</v>
      </c>
      <c r="AO26" s="13">
        <f>SUM($C26:INDEX($C26:$N26,1,MATCH(AO$5,$C$5:$N$5,0)))/SUM($O26:INDEX($O26:$Z26,1,MATCH(AO$5,$O$5:$Z$5,0)))</f>
        <v>1.04375</v>
      </c>
      <c r="AP26" s="13">
        <f>SUM($C26:INDEX($C26:$N26,1,MATCH(AP$5,$C$5:$N$5,0)))/SUM($O26:INDEX($O26:$Z26,1,MATCH(AP$5,$O$5:$Z$5,0)))</f>
        <v>1.0095238095238095</v>
      </c>
      <c r="AQ26" s="13">
        <f>SUM($C26:INDEX($C26:$N26,1,MATCH(AQ$5,$C$5:$N$5,0)))/SUM($O26:INDEX($O26:$Z26,1,MATCH(AQ$5,$O$5:$Z$5,0)))</f>
        <v>0.94385964912280707</v>
      </c>
      <c r="AR26" s="13">
        <f>SUM($C26:INDEX($C26:$N26,1,MATCH(AR$5,$C$5:$N$5,0)))/SUM($O26:INDEX($O26:$Z26,1,MATCH(AR$5,$O$5:$Z$5,0)))</f>
        <v>0.89166666666666672</v>
      </c>
      <c r="AS26" s="13">
        <f>SUM($C26:INDEX($C26:$N26,1,MATCH(AS$5,$C$5:$N$5,0)))/SUM($O26:INDEX($O26:$Z26,1,MATCH(AS$5,$O$5:$Z$5,0)))</f>
        <v>0.86206896551724133</v>
      </c>
      <c r="AT26" s="13">
        <f>SUM($C26:INDEX($C26:$N26,1,MATCH(AT$5,$C$5:$N$5,0)))/SUM($O26:INDEX($O26:$Z26,1,MATCH(AT$5,$O$5:$Z$5,0)))</f>
        <v>0.88037383177570094</v>
      </c>
      <c r="AU26" s="6"/>
      <c r="AV26" s="6"/>
      <c r="AW26" s="6"/>
      <c r="AX26" s="7"/>
    </row>
    <row r="27" spans="2:50" x14ac:dyDescent="0.35">
      <c r="B27" s="37" t="s">
        <v>4</v>
      </c>
      <c r="C27" s="11">
        <f>INDEX(Churn!$F$12:$N$12,MATCH(C$25,Churn!$F$11:$N$11,0))</f>
        <v>206000</v>
      </c>
      <c r="D27" s="9">
        <f>INDEX(Churn!$F$12:$N$12,MATCH(D$25,Churn!$F$11:$N$11,0))</f>
        <v>210000</v>
      </c>
      <c r="E27" s="9">
        <f>INDEX(Churn!$F$12:$N$12,MATCH(E$25,Churn!$F$11:$N$11,0))</f>
        <v>281000</v>
      </c>
      <c r="F27" s="9">
        <f>INDEX(Churn!$F$12:$N$12,MATCH(F$25,Churn!$F$11:$N$11,0))</f>
        <v>179000</v>
      </c>
      <c r="G27" s="9">
        <f>INDEX(Churn!$F$12:$N$12,MATCH(G$25,Churn!$F$11:$N$11,0))</f>
        <v>364000</v>
      </c>
      <c r="H27" s="9">
        <f>INDEX(Churn!$F$12:$N$12,MATCH(H$25,Churn!$F$11:$N$11,0))</f>
        <v>196000</v>
      </c>
      <c r="I27" s="9">
        <f>INDEX(Churn!$F$12:$N$12,MATCH(I$25,Churn!$F$11:$N$11,0))</f>
        <v>174000</v>
      </c>
      <c r="J27" s="9">
        <f>INDEX(Churn!$F$12:$N$12,MATCH(J$25,Churn!$F$11:$N$11,0))</f>
        <v>195000</v>
      </c>
      <c r="K27" s="6"/>
      <c r="L27" s="6"/>
      <c r="M27" s="6"/>
      <c r="N27" s="7"/>
      <c r="O27" s="11">
        <f>INDEX('Churn_Target'!$F$12:$N$12,MATCH(O$25,'Churn_Target'!$F$11:$N$11,0))</f>
        <v>200000</v>
      </c>
      <c r="P27" s="9">
        <f>INDEX('Churn_Target'!$F$12:$N$12,MATCH(P$25,'Churn_Target'!$F$11:$N$11,0))</f>
        <v>200000</v>
      </c>
      <c r="Q27" s="9">
        <f>INDEX('Churn_Target'!$F$12:$N$12,MATCH(Q$25,'Churn_Target'!$F$11:$N$11,0))</f>
        <v>280000</v>
      </c>
      <c r="R27" s="9">
        <f>INDEX('Churn_Target'!$F$12:$N$12,MATCH(R$25,'Churn_Target'!$F$11:$N$11,0))</f>
        <v>180000</v>
      </c>
      <c r="S27" s="9">
        <f>INDEX('Churn_Target'!$F$12:$N$12,MATCH(S$25,'Churn_Target'!$F$11:$N$11,0))</f>
        <v>200000</v>
      </c>
      <c r="T27" s="9">
        <f>INDEX('Churn_Target'!$F$12:$N$12,MATCH(T$25,'Churn_Target'!$F$11:$N$11,0))</f>
        <v>150000</v>
      </c>
      <c r="U27" s="9">
        <f>INDEX('Churn_Target'!$F$12:$N$12,MATCH(U$25,'Churn_Target'!$F$11:$N$11,0))</f>
        <v>200000</v>
      </c>
      <c r="V27" s="9">
        <f>INDEX('Churn_Target'!$F$12:$N$12,MATCH(V$25,'Churn_Target'!$F$11:$N$11,0))</f>
        <v>200000</v>
      </c>
      <c r="W27" s="6"/>
      <c r="X27" s="6"/>
      <c r="Y27" s="6"/>
      <c r="Z27" s="7"/>
      <c r="AA27" s="12">
        <f>C27/O27</f>
        <v>1.03</v>
      </c>
      <c r="AB27" s="13">
        <f t="shared" si="4"/>
        <v>1.05</v>
      </c>
      <c r="AC27" s="13">
        <f t="shared" si="5"/>
        <v>1.0035714285714286</v>
      </c>
      <c r="AD27" s="13">
        <f t="shared" si="6"/>
        <v>0.99444444444444446</v>
      </c>
      <c r="AE27" s="13">
        <f t="shared" si="7"/>
        <v>1.82</v>
      </c>
      <c r="AF27" s="13">
        <f t="shared" si="8"/>
        <v>1.3066666666666666</v>
      </c>
      <c r="AG27" s="13">
        <f t="shared" si="9"/>
        <v>0.87</v>
      </c>
      <c r="AH27" s="13">
        <f t="shared" si="10"/>
        <v>0.97499999999999998</v>
      </c>
      <c r="AI27" s="6"/>
      <c r="AJ27" s="6"/>
      <c r="AK27" s="6"/>
      <c r="AL27" s="7"/>
      <c r="AM27" s="13">
        <f>SUM($C27:INDEX($C27:$N27,1,MATCH(AM$5,$C$5:$N$5,0)))/SUM($O27:INDEX($O27:$Z27,1,MATCH(AM$5,$O$5:$Z$5,0)))</f>
        <v>1.03</v>
      </c>
      <c r="AN27" s="13">
        <f>SUM($C27:INDEX($C27:$N27,1,MATCH(AN$5,$C$5:$N$5,0)))/SUM($O27:INDEX($O27:$Z27,1,MATCH(AN$5,$O$5:$Z$5,0)))</f>
        <v>1.04</v>
      </c>
      <c r="AO27" s="13">
        <f>SUM($C27:INDEX($C27:$N27,1,MATCH(AO$5,$C$5:$N$5,0)))/SUM($O27:INDEX($O27:$Z27,1,MATCH(AO$5,$O$5:$Z$5,0)))</f>
        <v>1.0249999999999999</v>
      </c>
      <c r="AP27" s="13">
        <f>SUM($C27:INDEX($C27:$N27,1,MATCH(AP$5,$C$5:$N$5,0)))/SUM($O27:INDEX($O27:$Z27,1,MATCH(AP$5,$O$5:$Z$5,0)))</f>
        <v>1.0186046511627906</v>
      </c>
      <c r="AQ27" s="13">
        <f>SUM($C27:INDEX($C27:$N27,1,MATCH(AQ$5,$C$5:$N$5,0)))/SUM($O27:INDEX($O27:$Z27,1,MATCH(AQ$5,$O$5:$Z$5,0)))</f>
        <v>1.1698113207547169</v>
      </c>
      <c r="AR27" s="13">
        <f>SUM($C27:INDEX($C27:$N27,1,MATCH(AR$5,$C$5:$N$5,0)))/SUM($O27:INDEX($O27:$Z27,1,MATCH(AR$5,$O$5:$Z$5,0)))</f>
        <v>1.1867768595041321</v>
      </c>
      <c r="AS27" s="13">
        <f>SUM($C27:INDEX($C27:$N27,1,MATCH(AS$5,$C$5:$N$5,0)))/SUM($O27:INDEX($O27:$Z27,1,MATCH(AS$5,$O$5:$Z$5,0)))</f>
        <v>1.1418439716312057</v>
      </c>
      <c r="AT27" s="13">
        <f>SUM($C27:INDEX($C27:$N27,1,MATCH(AT$5,$C$5:$N$5,0)))/SUM($O27:INDEX($O27:$Z27,1,MATCH(AT$5,$O$5:$Z$5,0)))</f>
        <v>1.1211180124223603</v>
      </c>
      <c r="AU27" s="6"/>
      <c r="AV27" s="6"/>
      <c r="AW27" s="6"/>
      <c r="AX27" s="7"/>
    </row>
    <row r="28" spans="2:50" x14ac:dyDescent="0.35">
      <c r="B28" s="37" t="s">
        <v>5</v>
      </c>
      <c r="C28" s="11">
        <f>INDEX(Churn!$F$19:$N$19,MATCH(C$25,Churn!$F$18:$N$18,0))</f>
        <v>116000</v>
      </c>
      <c r="D28" s="9">
        <f>INDEX(Churn!$F$19:$N$19,MATCH(D$25,Churn!$F$18:$N$18,0))</f>
        <v>118000</v>
      </c>
      <c r="E28" s="9">
        <f>INDEX(Churn!$F$19:$N$19,MATCH(E$25,Churn!$F$18:$N$18,0))</f>
        <v>195000</v>
      </c>
      <c r="F28" s="9">
        <f>INDEX(Churn!$F$19:$N$19,MATCH(F$25,Churn!$F$18:$N$18,0))</f>
        <v>327000</v>
      </c>
      <c r="G28" s="9">
        <f>INDEX(Churn!$F$19:$N$19,MATCH(G$25,Churn!$F$18:$N$18,0))</f>
        <v>410000</v>
      </c>
      <c r="H28" s="9">
        <f>INDEX(Churn!$F$19:$N$19,MATCH(H$25,Churn!$F$18:$N$18,0))</f>
        <v>215000</v>
      </c>
      <c r="I28" s="9">
        <f>INDEX(Churn!$F$19:$N$19,MATCH(I$25,Churn!$F$18:$N$18,0))</f>
        <v>138000</v>
      </c>
      <c r="J28" s="9">
        <f>INDEX(Churn!$F$19:$N$19,MATCH(J$25,Churn!$F$18:$N$18,0))</f>
        <v>319000</v>
      </c>
      <c r="K28" s="6"/>
      <c r="L28" s="6"/>
      <c r="M28" s="6"/>
      <c r="N28" s="7"/>
      <c r="O28" s="11">
        <f>INDEX('Churn_Target'!$F$19:$N$19,MATCH(O$25,'Churn_Target'!$F$18:$N$18,0))</f>
        <v>100000</v>
      </c>
      <c r="P28" s="9">
        <f>INDEX('Churn_Target'!$F$19:$N$19,MATCH(P$25,'Churn_Target'!$F$18:$N$18,0))</f>
        <v>100000</v>
      </c>
      <c r="Q28" s="9">
        <f>INDEX('Churn_Target'!$F$19:$N$19,MATCH(Q$25,'Churn_Target'!$F$18:$N$18,0))</f>
        <v>200000</v>
      </c>
      <c r="R28" s="9">
        <f>INDEX('Churn_Target'!$F$19:$N$19,MATCH(R$25,'Churn_Target'!$F$18:$N$18,0))</f>
        <v>200000</v>
      </c>
      <c r="S28" s="9">
        <f>INDEX('Churn_Target'!$F$19:$N$19,MATCH(S$25,'Churn_Target'!$F$18:$N$18,0))</f>
        <v>200000</v>
      </c>
      <c r="T28" s="9">
        <f>INDEX('Churn_Target'!$F$19:$N$19,MATCH(T$25,'Churn_Target'!$F$18:$N$18,0))</f>
        <v>200000</v>
      </c>
      <c r="U28" s="9">
        <f>INDEX('Churn_Target'!$F$19:$N$19,MATCH(U$25,'Churn_Target'!$F$18:$N$18,0))</f>
        <v>150000</v>
      </c>
      <c r="V28" s="9">
        <f>INDEX('Churn_Target'!$F$19:$N$19,MATCH(V$25,'Churn_Target'!$F$18:$N$18,0))</f>
        <v>200000</v>
      </c>
      <c r="W28" s="6"/>
      <c r="X28" s="6"/>
      <c r="Y28" s="6"/>
      <c r="Z28" s="7"/>
      <c r="AA28" s="12">
        <f t="shared" ref="AA28:AA29" si="11">C28/O28</f>
        <v>1.1599999999999999</v>
      </c>
      <c r="AB28" s="13">
        <f t="shared" si="4"/>
        <v>1.18</v>
      </c>
      <c r="AC28" s="13">
        <f t="shared" si="5"/>
        <v>0.97499999999999998</v>
      </c>
      <c r="AD28" s="13">
        <f t="shared" si="6"/>
        <v>1.635</v>
      </c>
      <c r="AE28" s="13">
        <f t="shared" si="7"/>
        <v>2.0499999999999998</v>
      </c>
      <c r="AF28" s="13">
        <f t="shared" si="8"/>
        <v>1.075</v>
      </c>
      <c r="AG28" s="13">
        <f t="shared" si="9"/>
        <v>0.92</v>
      </c>
      <c r="AH28" s="13">
        <f t="shared" si="10"/>
        <v>1.595</v>
      </c>
      <c r="AI28" s="6"/>
      <c r="AJ28" s="6"/>
      <c r="AK28" s="6"/>
      <c r="AL28" s="7"/>
      <c r="AM28" s="13">
        <f>SUM($C28:INDEX($C28:$N28,1,MATCH(AM$5,$C$5:$N$5,0)))/SUM($O28:INDEX($O28:$Z28,1,MATCH(AM$5,$O$5:$Z$5,0)))</f>
        <v>1.1599999999999999</v>
      </c>
      <c r="AN28" s="13">
        <f>SUM($C28:INDEX($C28:$N28,1,MATCH(AN$5,$C$5:$N$5,0)))/SUM($O28:INDEX($O28:$Z28,1,MATCH(AN$5,$O$5:$Z$5,0)))</f>
        <v>1.17</v>
      </c>
      <c r="AO28" s="13">
        <f>SUM($C28:INDEX($C28:$N28,1,MATCH(AO$5,$C$5:$N$5,0)))/SUM($O28:INDEX($O28:$Z28,1,MATCH(AO$5,$O$5:$Z$5,0)))</f>
        <v>1.0725</v>
      </c>
      <c r="AP28" s="13">
        <f>SUM($C28:INDEX($C28:$N28,1,MATCH(AP$5,$C$5:$N$5,0)))/SUM($O28:INDEX($O28:$Z28,1,MATCH(AP$5,$O$5:$Z$5,0)))</f>
        <v>1.26</v>
      </c>
      <c r="AQ28" s="13">
        <f>SUM($C28:INDEX($C28:$N28,1,MATCH(AQ$5,$C$5:$N$5,0)))/SUM($O28:INDEX($O28:$Z28,1,MATCH(AQ$5,$O$5:$Z$5,0)))</f>
        <v>1.4575</v>
      </c>
      <c r="AR28" s="13">
        <f>SUM($C28:INDEX($C28:$N28,1,MATCH(AR$5,$C$5:$N$5,0)))/SUM($O28:INDEX($O28:$Z28,1,MATCH(AR$5,$O$5:$Z$5,0)))</f>
        <v>1.381</v>
      </c>
      <c r="AS28" s="13">
        <f>SUM($C28:INDEX($C28:$N28,1,MATCH(AS$5,$C$5:$N$5,0)))/SUM($O28:INDEX($O28:$Z28,1,MATCH(AS$5,$O$5:$Z$5,0)))</f>
        <v>1.3208695652173914</v>
      </c>
      <c r="AT28" s="13">
        <f>SUM($C28:INDEX($C28:$N28,1,MATCH(AT$5,$C$5:$N$5,0)))/SUM($O28:INDEX($O28:$Z28,1,MATCH(AT$5,$O$5:$Z$5,0)))</f>
        <v>1.3614814814814815</v>
      </c>
      <c r="AU28" s="6"/>
      <c r="AV28" s="6"/>
      <c r="AW28" s="6"/>
      <c r="AX28" s="7"/>
    </row>
    <row r="29" spans="2:50" x14ac:dyDescent="0.35">
      <c r="B29" s="45" t="s">
        <v>17</v>
      </c>
      <c r="C29" s="31">
        <f>INDEX(Churn!$F$26:$N$26,MATCH(C$25,Churn!$F$25:$N$25,0))</f>
        <v>426000</v>
      </c>
      <c r="D29" s="32">
        <f>INDEX(Churn!$F$26:$N$26,MATCH(D$25,Churn!$F$25:$N$25,0))</f>
        <v>430000</v>
      </c>
      <c r="E29" s="32">
        <f>INDEX(Churn!$F$26:$N$26,MATCH(E$25,Churn!$F$25:$N$25,0))</f>
        <v>604000</v>
      </c>
      <c r="F29" s="32">
        <f>INDEX(Churn!$F$26:$N$26,MATCH(F$25,Churn!$F$25:$N$25,0))</f>
        <v>596000</v>
      </c>
      <c r="G29" s="32">
        <f>INDEX(Churn!$F$26:$N$26,MATCH(G$25,Churn!$F$25:$N$25,0))</f>
        <v>888000</v>
      </c>
      <c r="H29" s="32">
        <f>INDEX(Churn!$F$26:$N$26,MATCH(H$25,Churn!$F$25:$N$25,0))</f>
        <v>515000</v>
      </c>
      <c r="I29" s="32">
        <f>INDEX(Churn!$F$26:$N$26,MATCH(I$25,Churn!$F$25:$N$25,0))</f>
        <v>420000</v>
      </c>
      <c r="J29" s="32">
        <f>INDEX(Churn!$F$26:$N$26,MATCH(J$25,Churn!$F$25:$N$25,0))</f>
        <v>706000</v>
      </c>
      <c r="K29" s="33"/>
      <c r="L29" s="33"/>
      <c r="M29" s="33"/>
      <c r="N29" s="34"/>
      <c r="O29" s="31">
        <f>INDEX('Churn_Target'!$F$26:$N$26,MATCH(O$25,'Churn_Target'!$F$25:$N$25,0))</f>
        <v>400000</v>
      </c>
      <c r="P29" s="32">
        <f>INDEX('Churn_Target'!$F$26:$N$26,MATCH(P$25,'Churn_Target'!$F$25:$N$25,0))</f>
        <v>400000</v>
      </c>
      <c r="Q29" s="32">
        <f>INDEX('Churn_Target'!$F$26:$N$26,MATCH(Q$25,'Churn_Target'!$F$25:$N$25,0))</f>
        <v>600000</v>
      </c>
      <c r="R29" s="32">
        <f>INDEX('Churn_Target'!$F$26:$N$26,MATCH(R$25,'Churn_Target'!$F$25:$N$25,0))</f>
        <v>480000</v>
      </c>
      <c r="S29" s="32">
        <f>INDEX('Churn_Target'!$F$26:$N$26,MATCH(S$25,'Churn_Target'!$F$25:$N$25,0))</f>
        <v>550000</v>
      </c>
      <c r="T29" s="32">
        <f>INDEX('Churn_Target'!$F$26:$N$26,MATCH(T$25,'Churn_Target'!$F$25:$N$25,0))</f>
        <v>500000</v>
      </c>
      <c r="U29" s="32">
        <f>INDEX('Churn_Target'!$F$26:$N$26,MATCH(U$25,'Churn_Target'!$F$25:$N$25,0))</f>
        <v>500000</v>
      </c>
      <c r="V29" s="32">
        <f>INDEX('Churn_Target'!$F$26:$N$26,MATCH(V$25,'Churn_Target'!$F$25:$N$25,0))</f>
        <v>600000</v>
      </c>
      <c r="W29" s="33"/>
      <c r="X29" s="33"/>
      <c r="Y29" s="33"/>
      <c r="Z29" s="34"/>
      <c r="AA29" s="35">
        <f t="shared" si="11"/>
        <v>1.0649999999999999</v>
      </c>
      <c r="AB29" s="36">
        <f t="shared" si="4"/>
        <v>1.075</v>
      </c>
      <c r="AC29" s="36">
        <f t="shared" si="5"/>
        <v>1.0066666666666666</v>
      </c>
      <c r="AD29" s="36">
        <f t="shared" si="6"/>
        <v>1.2416666666666667</v>
      </c>
      <c r="AE29" s="36">
        <f t="shared" si="7"/>
        <v>1.6145454545454545</v>
      </c>
      <c r="AF29" s="36">
        <f t="shared" si="8"/>
        <v>1.03</v>
      </c>
      <c r="AG29" s="36">
        <f t="shared" si="9"/>
        <v>0.84</v>
      </c>
      <c r="AH29" s="36">
        <f t="shared" si="10"/>
        <v>1.1766666666666667</v>
      </c>
      <c r="AI29" s="33"/>
      <c r="AJ29" s="33"/>
      <c r="AK29" s="33"/>
      <c r="AL29" s="34"/>
      <c r="AM29" s="35">
        <f>SUM($C29:INDEX($C29:$N29,1,MATCH(AM$5,$C$5:$N$5,0)))/SUM($O29:INDEX($O29:$Z29,1,MATCH(AM$5,$O$5:$Z$5,0)))</f>
        <v>1.0649999999999999</v>
      </c>
      <c r="AN29" s="36">
        <f>SUM($C29:INDEX($C29:$N29,1,MATCH(AN$5,$C$5:$N$5,0)))/SUM($O29:INDEX($O29:$Z29,1,MATCH(AN$5,$O$5:$Z$5,0)))</f>
        <v>1.07</v>
      </c>
      <c r="AO29" s="36">
        <f>SUM($C29:INDEX($C29:$N29,1,MATCH(AO$5,$C$5:$N$5,0)))/SUM($O29:INDEX($O29:$Z29,1,MATCH(AO$5,$O$5:$Z$5,0)))</f>
        <v>1.0428571428571429</v>
      </c>
      <c r="AP29" s="36">
        <f>SUM($C29:INDEX($C29:$N29,1,MATCH(AP$5,$C$5:$N$5,0)))/SUM($O29:INDEX($O29:$Z29,1,MATCH(AP$5,$O$5:$Z$5,0)))</f>
        <v>1.0936170212765957</v>
      </c>
      <c r="AQ29" s="36">
        <f>SUM($C29:INDEX($C29:$N29,1,MATCH(AQ$5,$C$5:$N$5,0)))/SUM($O29:INDEX($O29:$Z29,1,MATCH(AQ$5,$O$5:$Z$5,0)))</f>
        <v>1.2115226337448559</v>
      </c>
      <c r="AR29" s="36">
        <f>SUM($C29:INDEX($C29:$N29,1,MATCH(AR$5,$C$5:$N$5,0)))/SUM($O29:INDEX($O29:$Z29,1,MATCH(AR$5,$O$5:$Z$5,0)))</f>
        <v>1.1805460750853243</v>
      </c>
      <c r="AS29" s="36">
        <f>SUM($C29:INDEX($C29:$N29,1,MATCH(AS$5,$C$5:$N$5,0)))/SUM($O29:INDEX($O29:$Z29,1,MATCH(AS$5,$O$5:$Z$5,0)))</f>
        <v>1.1309037900874637</v>
      </c>
      <c r="AT29" s="36">
        <f>SUM($C29:INDEX($C29:$N29,1,MATCH(AT$5,$C$5:$N$5,0)))/SUM($O29:INDEX($O29:$Z29,1,MATCH(AT$5,$O$5:$Z$5,0)))</f>
        <v>1.1377171215880892</v>
      </c>
      <c r="AU29" s="33"/>
      <c r="AV29" s="33"/>
      <c r="AW29" s="33"/>
      <c r="AX29" s="34"/>
    </row>
    <row r="32" spans="2:50" x14ac:dyDescent="0.35">
      <c r="C32" s="16"/>
      <c r="D32" s="16"/>
      <c r="E32" s="16"/>
      <c r="F32" s="16"/>
      <c r="G32" s="16"/>
      <c r="H32" s="16"/>
      <c r="I32" s="16"/>
      <c r="J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3:23" x14ac:dyDescent="0.35">
      <c r="C33" s="16"/>
      <c r="D33" s="16"/>
      <c r="E33" s="16"/>
      <c r="F33" s="16"/>
      <c r="G33" s="16"/>
      <c r="H33" s="16"/>
      <c r="I33" s="16"/>
      <c r="J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3:23" x14ac:dyDescent="0.35">
      <c r="C34" s="16"/>
      <c r="D34" s="16"/>
      <c r="E34" s="16"/>
      <c r="F34" s="16"/>
      <c r="G34" s="16"/>
      <c r="H34" s="16"/>
      <c r="I34" s="16"/>
      <c r="J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3:23" x14ac:dyDescent="0.35">
      <c r="C35" s="16"/>
      <c r="D35" s="16"/>
      <c r="E35" s="16"/>
      <c r="F35" s="16"/>
      <c r="G35" s="16"/>
      <c r="H35" s="16"/>
      <c r="I35" s="16"/>
      <c r="J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3:23" x14ac:dyDescent="0.35">
      <c r="C36" s="16"/>
      <c r="D36" s="16"/>
      <c r="E36" s="16"/>
      <c r="F36" s="16"/>
      <c r="G36" s="16"/>
      <c r="H36" s="16"/>
      <c r="I36" s="16"/>
      <c r="J36" s="16"/>
    </row>
    <row r="38" spans="3:23" x14ac:dyDescent="0.35">
      <c r="C38" s="16"/>
      <c r="D38" s="16"/>
      <c r="E38" s="16"/>
      <c r="F38" s="16"/>
      <c r="G38" s="16"/>
      <c r="H38" s="16"/>
      <c r="I38" s="16"/>
      <c r="J38" s="16"/>
      <c r="L38" s="16"/>
      <c r="M38" s="16"/>
      <c r="N38" s="16"/>
      <c r="O38" s="16"/>
      <c r="P38" s="16"/>
      <c r="Q38" s="16"/>
      <c r="R38" s="16"/>
      <c r="S38" s="16"/>
    </row>
    <row r="39" spans="3:23" x14ac:dyDescent="0.35">
      <c r="C39" s="16"/>
      <c r="D39" s="16"/>
      <c r="E39" s="16"/>
      <c r="F39" s="16"/>
      <c r="G39" s="16"/>
      <c r="H39" s="16"/>
      <c r="I39" s="16"/>
      <c r="J39" s="16"/>
      <c r="L39" s="16"/>
      <c r="M39" s="16"/>
      <c r="N39" s="16"/>
      <c r="O39" s="16"/>
      <c r="P39" s="16"/>
      <c r="Q39" s="16"/>
      <c r="R39" s="16"/>
      <c r="S39" s="16"/>
    </row>
    <row r="40" spans="3:23" x14ac:dyDescent="0.35">
      <c r="C40" s="16"/>
      <c r="D40" s="16"/>
      <c r="E40" s="16"/>
      <c r="F40" s="16"/>
      <c r="G40" s="16"/>
      <c r="H40" s="16"/>
      <c r="I40" s="16"/>
      <c r="J40" s="16"/>
      <c r="L40" s="16"/>
      <c r="M40" s="16"/>
      <c r="N40" s="16"/>
      <c r="O40" s="16"/>
      <c r="P40" s="16"/>
      <c r="Q40" s="16"/>
      <c r="R40" s="16"/>
      <c r="S40" s="16"/>
    </row>
    <row r="41" spans="3:23" x14ac:dyDescent="0.35">
      <c r="C41" s="16"/>
      <c r="D41" s="16"/>
      <c r="E41" s="16"/>
      <c r="F41" s="16"/>
      <c r="G41" s="16"/>
      <c r="H41" s="16"/>
      <c r="I41" s="16"/>
      <c r="J41" s="16"/>
      <c r="L41" s="16"/>
      <c r="M41" s="16"/>
      <c r="N41" s="16"/>
      <c r="O41" s="16"/>
      <c r="P41" s="16"/>
      <c r="Q41" s="16"/>
      <c r="R41" s="16"/>
      <c r="S41" s="16"/>
    </row>
    <row r="43" spans="3:23" x14ac:dyDescent="0.35">
      <c r="C43" s="16"/>
      <c r="D43" s="16"/>
      <c r="E43" s="16"/>
      <c r="F43" s="16"/>
      <c r="G43" s="16"/>
      <c r="H43" s="16"/>
      <c r="I43" s="16"/>
      <c r="J43" s="16"/>
    </row>
    <row r="44" spans="3:23" x14ac:dyDescent="0.35">
      <c r="C44" s="16"/>
      <c r="D44" s="16"/>
      <c r="E44" s="16"/>
      <c r="F44" s="16"/>
      <c r="G44" s="16"/>
      <c r="H44" s="16"/>
      <c r="I44" s="16"/>
      <c r="J44" s="16"/>
      <c r="L44" s="16"/>
      <c r="M44" s="16"/>
      <c r="N44" s="16"/>
      <c r="O44" s="16"/>
      <c r="P44" s="16"/>
      <c r="Q44" s="16"/>
      <c r="R44" s="16"/>
      <c r="S44" s="16"/>
    </row>
    <row r="45" spans="3:23" x14ac:dyDescent="0.35">
      <c r="C45" s="16"/>
      <c r="D45" s="16"/>
      <c r="E45" s="16"/>
      <c r="F45" s="16"/>
      <c r="G45" s="16"/>
      <c r="H45" s="16"/>
      <c r="I45" s="16"/>
      <c r="J45" s="16"/>
      <c r="L45" s="16"/>
      <c r="M45" s="16"/>
      <c r="N45" s="16"/>
      <c r="O45" s="16"/>
      <c r="P45" s="16"/>
      <c r="Q45" s="16"/>
      <c r="R45" s="16"/>
      <c r="S45" s="16"/>
    </row>
    <row r="46" spans="3:23" x14ac:dyDescent="0.35">
      <c r="C46" s="16"/>
      <c r="D46" s="16"/>
      <c r="E46" s="16"/>
      <c r="F46" s="16"/>
      <c r="G46" s="16"/>
      <c r="H46" s="16"/>
      <c r="I46" s="16"/>
      <c r="J46" s="16"/>
      <c r="L46" s="16"/>
      <c r="M46" s="16"/>
      <c r="N46" s="16"/>
      <c r="O46" s="16"/>
      <c r="P46" s="16"/>
      <c r="Q46" s="16"/>
      <c r="R46" s="16"/>
      <c r="S46" s="16"/>
    </row>
    <row r="47" spans="3:23" x14ac:dyDescent="0.35">
      <c r="C47" s="16"/>
      <c r="D47" s="16"/>
      <c r="E47" s="16"/>
      <c r="F47" s="16"/>
      <c r="G47" s="16"/>
      <c r="H47" s="16"/>
      <c r="I47" s="16"/>
      <c r="J47" s="16"/>
      <c r="L47" s="16"/>
      <c r="M47" s="16"/>
      <c r="N47" s="16"/>
      <c r="O47" s="16"/>
      <c r="P47" s="16"/>
      <c r="Q47" s="16"/>
      <c r="R47" s="16"/>
      <c r="S47" s="16"/>
    </row>
  </sheetData>
  <mergeCells count="12">
    <mergeCell ref="C24:N24"/>
    <mergeCell ref="O24:Z24"/>
    <mergeCell ref="AM24:AX24"/>
    <mergeCell ref="AA4:AL4"/>
    <mergeCell ref="AA14:AL14"/>
    <mergeCell ref="AA24:AL24"/>
    <mergeCell ref="C4:N4"/>
    <mergeCell ref="O4:Z4"/>
    <mergeCell ref="AM4:AX4"/>
    <mergeCell ref="C14:N14"/>
    <mergeCell ref="O14:Z14"/>
    <mergeCell ref="AM14:AX14"/>
  </mergeCells>
  <phoneticPr fontId="4" type="noConversion"/>
  <conditionalFormatting sqref="AA6:AH9 AA16:AH19 AM6:AT9 AM16:AT19">
    <cfRule type="expression" dxfId="11" priority="4">
      <formula>AA6 &gt;75%</formula>
    </cfRule>
    <cfRule type="expression" dxfId="10" priority="5">
      <formula>AND(AA6&gt;50%,AA6&lt;=75%)</formula>
    </cfRule>
    <cfRule type="expression" dxfId="9" priority="6">
      <formula>AA6 &lt;= 50%</formula>
    </cfRule>
  </conditionalFormatting>
  <conditionalFormatting sqref="AA26:AH29 AM26:AT29">
    <cfRule type="expression" dxfId="8" priority="3">
      <formula>AA26 &lt;= 75%</formula>
    </cfRule>
    <cfRule type="expression" dxfId="7" priority="1">
      <formula>AA26&gt;85%</formula>
    </cfRule>
    <cfRule type="expression" dxfId="6" priority="2">
      <formula>AND(AA26&gt;75%, AA26&lt;=85%)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9269-298E-4E84-8F4B-8AB9F3B00596}">
  <dimension ref="A1:K9"/>
  <sheetViews>
    <sheetView showGridLines="0" zoomScale="55" zoomScaleNormal="55" workbookViewId="0">
      <selection activeCell="Q36" sqref="Q36"/>
    </sheetView>
  </sheetViews>
  <sheetFormatPr defaultRowHeight="14.5" x14ac:dyDescent="0.35"/>
  <cols>
    <col min="2" max="11" width="23.1796875" customWidth="1"/>
  </cols>
  <sheetData>
    <row r="1" spans="1:11" x14ac:dyDescent="0.35">
      <c r="A1" s="47" t="s">
        <v>15</v>
      </c>
    </row>
    <row r="2" spans="1:11" x14ac:dyDescent="0.35">
      <c r="B2" s="50" t="s">
        <v>31</v>
      </c>
      <c r="C2" s="51"/>
      <c r="D2" s="51"/>
      <c r="E2" s="51"/>
      <c r="F2" s="51"/>
      <c r="G2" s="51"/>
      <c r="H2" s="51"/>
      <c r="I2" s="51"/>
      <c r="J2" s="51"/>
      <c r="K2" s="52"/>
    </row>
    <row r="3" spans="1:11" x14ac:dyDescent="0.35">
      <c r="B3" s="43" t="s">
        <v>32</v>
      </c>
      <c r="C3" s="48" t="s">
        <v>19</v>
      </c>
      <c r="D3" s="49"/>
      <c r="E3" s="49"/>
      <c r="F3" s="49" t="s">
        <v>30</v>
      </c>
      <c r="G3" s="49"/>
      <c r="H3" s="49"/>
      <c r="I3" s="49" t="s">
        <v>22</v>
      </c>
      <c r="J3" s="49"/>
      <c r="K3" s="49"/>
    </row>
    <row r="4" spans="1:11" x14ac:dyDescent="0.35">
      <c r="B4" s="43"/>
      <c r="C4" s="26" t="s">
        <v>2</v>
      </c>
      <c r="D4" s="27" t="s">
        <v>23</v>
      </c>
      <c r="E4" s="27" t="s">
        <v>29</v>
      </c>
      <c r="F4" s="28" t="s">
        <v>2</v>
      </c>
      <c r="G4" s="28" t="s">
        <v>23</v>
      </c>
      <c r="H4" s="28" t="s">
        <v>29</v>
      </c>
      <c r="I4" s="28" t="s">
        <v>2</v>
      </c>
      <c r="J4" s="28" t="s">
        <v>23</v>
      </c>
      <c r="K4" s="28" t="s">
        <v>29</v>
      </c>
    </row>
    <row r="5" spans="1:11" x14ac:dyDescent="0.35">
      <c r="B5" s="42" t="s">
        <v>3</v>
      </c>
      <c r="C5" s="17">
        <f>SUM(
INDEX(Details!$C$6:$N$8,MATCH(B5,Details!$B$6:$B$8,0),1):
INDEX(Details!$C$6:$N$8,MATCH(B5,Details!$B$6:$B$8,0),MATCH($A$1,Details!$C$15:$N$15,0))
)</f>
        <v>11730000</v>
      </c>
      <c r="D5" s="18">
        <f>SUM(
INDEX(Details!$O$6:$Z$8,MATCH(B5,Details!$B$6:$B$8,0),1):
INDEX(Details!$O$6:$Z$8,MATCH(B5,Details!$B$6:$B$8),0),MATCH($A$1,Details!$O$5:$Z$5,0))</f>
        <v>12530008</v>
      </c>
      <c r="E5" s="54">
        <f>C5/D5</f>
        <v>0.93615263453941933</v>
      </c>
      <c r="F5" s="17">
        <f>SUM(
INDEX(Details!$C$16:$N$18,MATCH(B5,Details!$B$16:$B$18,0),1):
INDEX(Details!$C$16:$N$18,MATCH(B5,Details!$B$16:$B$18,0),MATCH($A$1,Details!$C$15:$N$15,0)))</f>
        <v>10936000</v>
      </c>
      <c r="G5" s="18">
        <f>SUM(
INDEX(Details!$O$16:$Z$18,MATCH(B5,Details!$B$16:$B$18,0),1):
INDEX(Details!$O$16:$Z$18,MATCH(B5,Details!$B$16:$B$18,0),MATCH($A$1,Details!$O$15:$Z$15,0)))</f>
        <v>11600000</v>
      </c>
      <c r="H5" s="54">
        <f>F5/G5</f>
        <v>0.94275862068965521</v>
      </c>
      <c r="I5" s="17">
        <f>SUM(
INDEX(Details!$C$26:$N$28,MATCH(B5,Details!$B$26:$B$28,0),1):
INDEX(Details!$C$26:$N$28,MATCH(B5,Details!$B$26:$B$28,0),MATCH($A$1,Details!$C$25:$N$25,0)))</f>
        <v>942000</v>
      </c>
      <c r="J5" s="18">
        <f>SUM(
INDEX(Details!$O$26:$Z$28,MATCH(B5,Details!$B$26:$B$28,0),1):
INDEX(Details!$O$26:$Z$28,MATCH(B5,Details!$B$26:$B$28,0),MATCH($A$1,Details!$O$25:$Z$25,0)))</f>
        <v>1070000</v>
      </c>
      <c r="K5" s="54">
        <f>I5/J5</f>
        <v>0.88037383177570094</v>
      </c>
    </row>
    <row r="6" spans="1:11" x14ac:dyDescent="0.35">
      <c r="B6" s="42" t="s">
        <v>4</v>
      </c>
      <c r="C6" s="19">
        <f>SUM(
INDEX(Details!$C$6:$N$8,MATCH(B6,Details!$B$6:$B$8,0),1):
INDEX(Details!$C$6:$N$8,MATCH(B6,Details!$B$6:$B$8,0),MATCH($A$1,Details!$C$15:$N$15,0))
)</f>
        <v>9470000</v>
      </c>
      <c r="D6" s="20">
        <f>SUM(
INDEX(Details!$O$6:$Z$8,MATCH(B6,Details!$B$6:$B$8,0),1):
INDEX(Details!$O$6:$Z$8,MATCH(B6,Details!$B$6:$B$8),0),MATCH($A$1,Details!$O$5:$Z$5,0))</f>
        <v>10900008</v>
      </c>
      <c r="E6" s="55">
        <f t="shared" ref="E6:E8" si="0">C6/D6</f>
        <v>0.86880670179324637</v>
      </c>
      <c r="F6" s="19">
        <f>SUM(
INDEX(Details!$C$16:$N$18,MATCH(B6,Details!$B$16:$B$18,0),1):
INDEX(Details!$C$16:$N$18,MATCH(B6,Details!$B$16:$B$18,0),MATCH($A$1,Details!$C$15:$N$15,0)))</f>
        <v>8830000</v>
      </c>
      <c r="G6" s="20">
        <f>SUM(
INDEX(Details!$O$16:$Z$18,MATCH(B6,Details!$B$16:$B$18,0),1):
INDEX(Details!$O$16:$Z$18,MATCH(B6,Details!$B$16:$B$18,0),MATCH($A$1,Details!$O$15:$Z$15,0)))</f>
        <v>9300000</v>
      </c>
      <c r="H6" s="55">
        <f t="shared" ref="H6:H7" si="1">F6/G6</f>
        <v>0.94946236559139785</v>
      </c>
      <c r="I6" s="19">
        <f>SUM(
INDEX(Details!$C$26:$N$28,MATCH(B6,Details!$B$26:$B$28,0),1):
INDEX(Details!$C$26:$N$28,MATCH(B6,Details!$B$26:$B$28,0),MATCH($A$1,Details!$C$25:$N$25,0)))</f>
        <v>1805000</v>
      </c>
      <c r="J6" s="20">
        <f>SUM(
INDEX(Details!$O$26:$Z$28,MATCH(B6,Details!$B$26:$B$28,0),1):
INDEX(Details!$O$26:$Z$28,MATCH(B6,Details!$B$26:$B$28,0),MATCH($A$1,Details!$O$25:$Z$25,0)))</f>
        <v>1610000</v>
      </c>
      <c r="K6" s="55">
        <f t="shared" ref="K6:K7" si="2">I6/J6</f>
        <v>1.1211180124223603</v>
      </c>
    </row>
    <row r="7" spans="1:11" x14ac:dyDescent="0.35">
      <c r="B7" s="42" t="s">
        <v>5</v>
      </c>
      <c r="C7" s="19">
        <f>SUM(
INDEX(Details!$C$6:$N$8,MATCH(B7,Details!$B$6:$B$8,0),1):
INDEX(Details!$C$6:$N$8,MATCH(B7,Details!$B$6:$B$8,0),MATCH($A$1,Details!$C$15:$N$15,0))
)</f>
        <v>13980000</v>
      </c>
      <c r="D7" s="20">
        <f>SUM(
INDEX(Details!$O$6:$Z$8,MATCH(B7,Details!$B$6:$B$8,0),1):
INDEX(Details!$O$6:$Z$8,MATCH(B7,Details!$B$6:$B$8),0),MATCH($A$1,Details!$O$5:$Z$5,0))</f>
        <v>14600008</v>
      </c>
      <c r="E7" s="55">
        <f t="shared" si="0"/>
        <v>0.9575337218993305</v>
      </c>
      <c r="F7" s="19">
        <f>SUM(
INDEX(Details!$C$16:$N$18,MATCH(B7,Details!$B$16:$B$18,0),1):
INDEX(Details!$C$16:$N$18,MATCH(B7,Details!$B$16:$B$18,0),MATCH($A$1,Details!$C$15:$N$15,0)))</f>
        <v>12965000</v>
      </c>
      <c r="G7" s="20">
        <f>SUM(
INDEX(Details!$O$16:$Z$18,MATCH(B7,Details!$B$16:$B$18,0),1):
INDEX(Details!$O$16:$Z$18,MATCH(B7,Details!$B$16:$B$18,0),MATCH($A$1,Details!$O$15:$Z$15,0)))</f>
        <v>13000000</v>
      </c>
      <c r="H7" s="55">
        <f t="shared" si="1"/>
        <v>0.99730769230769234</v>
      </c>
      <c r="I7" s="19">
        <f>SUM(
INDEX(Details!$C$26:$N$28,MATCH(B7,Details!$B$26:$B$28,0),1):
INDEX(Details!$C$26:$N$28,MATCH(B7,Details!$B$26:$B$28,0),MATCH($A$1,Details!$C$25:$N$25,0)))</f>
        <v>1838000</v>
      </c>
      <c r="J7" s="20">
        <f>SUM(
INDEX(Details!$O$26:$Z$28,MATCH(B7,Details!$B$26:$B$28,0),1):
INDEX(Details!$O$26:$Z$28,MATCH(B7,Details!$B$26:$B$28,0),MATCH($A$1,Details!$O$25:$Z$25,0)))</f>
        <v>1350000</v>
      </c>
      <c r="K7" s="55">
        <f t="shared" si="2"/>
        <v>1.3614814814814815</v>
      </c>
    </row>
    <row r="8" spans="1:11" x14ac:dyDescent="0.35">
      <c r="B8" s="44" t="s">
        <v>17</v>
      </c>
      <c r="C8" s="29">
        <f>SUM(C5:C7)</f>
        <v>35180000</v>
      </c>
      <c r="D8" s="30">
        <f>SUM(D5:D7)</f>
        <v>38030024</v>
      </c>
      <c r="E8" s="56">
        <f>C8/D8</f>
        <v>0.9250585800313984</v>
      </c>
      <c r="F8" s="29">
        <f>SUM(F5:F7)</f>
        <v>32731000</v>
      </c>
      <c r="G8" s="30">
        <f>SUM(G5:G7)</f>
        <v>33900000</v>
      </c>
      <c r="H8" s="56">
        <f>F8/G8</f>
        <v>0.96551622418879057</v>
      </c>
      <c r="I8" s="29">
        <f>SUM(I5:I7)</f>
        <v>4585000</v>
      </c>
      <c r="J8" s="30">
        <f>SUM(J5:J7)</f>
        <v>4030000</v>
      </c>
      <c r="K8" s="56">
        <f>I8/J8</f>
        <v>1.1377171215880892</v>
      </c>
    </row>
    <row r="9" spans="1:11" x14ac:dyDescent="0.35">
      <c r="C9">
        <f>F5/G8</f>
        <v>0.32259587020648967</v>
      </c>
    </row>
  </sheetData>
  <mergeCells count="5">
    <mergeCell ref="C3:E3"/>
    <mergeCell ref="F3:H3"/>
    <mergeCell ref="I3:K3"/>
    <mergeCell ref="B2:K2"/>
    <mergeCell ref="B3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 Accepted</vt:lpstr>
      <vt:lpstr>OA_Target</vt:lpstr>
      <vt:lpstr>Order Delivered</vt:lpstr>
      <vt:lpstr>OD_Target</vt:lpstr>
      <vt:lpstr>Churn</vt:lpstr>
      <vt:lpstr>Churn_Target</vt:lpstr>
      <vt:lpstr>Checking</vt:lpstr>
      <vt:lpstr>Charts</vt:lpstr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 Sulaiman</cp:lastModifiedBy>
  <dcterms:created xsi:type="dcterms:W3CDTF">2026-09-25T08:53:55Z</dcterms:created>
  <dcterms:modified xsi:type="dcterms:W3CDTF">2026-09-27T13:37:12Z</dcterms:modified>
</cp:coreProperties>
</file>